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bookViews>
    <workbookView xWindow="0" yWindow="0" windowWidth="20490" windowHeight="7755" activeTab="4"/>
  </bookViews>
  <sheets>
    <sheet name="Logical Test" sheetId="1" r:id="rId1"/>
    <sheet name="IF" sheetId="2" r:id="rId2"/>
    <sheet name="Purchase Ledger" sheetId="3" r:id="rId3"/>
    <sheet name="Nested if" sheetId="4" r:id="rId4"/>
    <sheet name="AND-OR" sheetId="5" r:id="rId5"/>
  </sheets>
  <definedNames>
    <definedName name="_xlnm._FilterDatabase" localSheetId="4" hidden="1">'AND-OR'!$A$2:$L$19</definedName>
    <definedName name="Hours">IF!$D$6:$D$16</definedName>
    <definedName name="ot">'Nested if'!$I$9</definedName>
    <definedName name="Overtime">IF!$I$25</definedName>
    <definedName name="Rate">IF!$E$6:$E$16</definedName>
    <definedName name="Rates">IF!$H$6:$I$9</definedName>
    <definedName name="Standard">IF!$I$24</definedName>
    <definedName name="std">'Nested if'!$I$8</definedName>
    <definedName name="wk">'Nested if'!$I$10</definedName>
    <definedName name="wot">'Nested if'!$I$11</definedName>
  </definedNames>
  <calcPr calcId="152511"/>
  <extLst>
    <ext uri="GoogleSheetsCustomDataVersion2">
      <go:sheetsCustomData xmlns:go="http://customooxmlschemas.google.com/" r:id="rId9" roundtripDataChecksum="mSk6MCuLi59XxH+2dVfWxMI/y3p+VLqL2bgDPdg4hzY="/>
    </ext>
  </extLst>
</workbook>
</file>

<file path=xl/calcChain.xml><?xml version="1.0" encoding="utf-8"?>
<calcChain xmlns="http://schemas.openxmlformats.org/spreadsheetml/2006/main">
  <c r="L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3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3" i="5"/>
  <c r="H4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5"/>
  <c r="F9" i="4"/>
  <c r="F10" i="4"/>
  <c r="F11" i="4"/>
  <c r="F12" i="4"/>
  <c r="F13" i="4"/>
  <c r="F14" i="4"/>
  <c r="F15" i="4"/>
  <c r="F16" i="4"/>
  <c r="F17" i="4"/>
  <c r="F18" i="4"/>
  <c r="F8" i="4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F25" i="2"/>
  <c r="F26" i="2"/>
  <c r="F27" i="2"/>
  <c r="F28" i="2"/>
  <c r="F29" i="2"/>
  <c r="F30" i="2"/>
  <c r="F31" i="2"/>
  <c r="F32" i="2"/>
  <c r="F33" i="2"/>
  <c r="F34" i="2"/>
  <c r="F24" i="2"/>
  <c r="D13" i="2"/>
  <c r="D12" i="2"/>
  <c r="D11" i="2"/>
  <c r="D10" i="2"/>
  <c r="D9" i="2"/>
  <c r="D8" i="2"/>
  <c r="D12" i="1"/>
  <c r="D11" i="1"/>
  <c r="D10" i="1"/>
  <c r="D9" i="1"/>
  <c r="D8" i="1"/>
  <c r="D7" i="1"/>
  <c r="F40" i="4"/>
  <c r="F39" i="4"/>
  <c r="F38" i="4"/>
  <c r="F37" i="4"/>
  <c r="F36" i="4"/>
  <c r="F35" i="4"/>
  <c r="F34" i="4"/>
  <c r="F33" i="4"/>
  <c r="F32" i="4"/>
  <c r="F31" i="4"/>
  <c r="F30" i="4"/>
</calcChain>
</file>

<file path=xl/sharedStrings.xml><?xml version="1.0" encoding="utf-8"?>
<sst xmlns="http://schemas.openxmlformats.org/spreadsheetml/2006/main" count="266" uniqueCount="124">
  <si>
    <t>Logical Operators</t>
  </si>
  <si>
    <t>NO.</t>
  </si>
  <si>
    <t>Comparison Operator</t>
  </si>
  <si>
    <t>Answer</t>
  </si>
  <si>
    <t>=</t>
  </si>
  <si>
    <t>&lt;&gt;</t>
  </si>
  <si>
    <t>&gt;</t>
  </si>
  <si>
    <t>&gt;=</t>
  </si>
  <si>
    <t>&lt;</t>
  </si>
  <si>
    <t>&lt;=</t>
  </si>
  <si>
    <t>Number 1</t>
  </si>
  <si>
    <t>Number 2</t>
  </si>
  <si>
    <t>Pass</t>
  </si>
  <si>
    <t>Fail</t>
  </si>
  <si>
    <t>Answer type</t>
  </si>
  <si>
    <t>Formula</t>
  </si>
  <si>
    <t>True,False</t>
  </si>
  <si>
    <t>1,0</t>
  </si>
  <si>
    <t>Pass,Fail</t>
  </si>
  <si>
    <t>PASS,FAIL</t>
  </si>
  <si>
    <t>YES,NO</t>
  </si>
  <si>
    <t>C3+D3,0</t>
  </si>
  <si>
    <t>today(),today()+1</t>
  </si>
  <si>
    <t>Build</t>
  </si>
  <si>
    <t>Item</t>
  </si>
  <si>
    <t>Hours</t>
  </si>
  <si>
    <t>Rate</t>
  </si>
  <si>
    <t>Total</t>
  </si>
  <si>
    <t>Rates</t>
  </si>
  <si>
    <t>Removing old plaster</t>
  </si>
  <si>
    <t>Standard</t>
  </si>
  <si>
    <t>Brew time</t>
  </si>
  <si>
    <t>Overtime</t>
  </si>
  <si>
    <t>Preparing walls</t>
  </si>
  <si>
    <t>Plastering walls</t>
  </si>
  <si>
    <t>Weekend</t>
  </si>
  <si>
    <t>Accidentally knocking off some new plaster</t>
  </si>
  <si>
    <t>Wkend OT</t>
  </si>
  <si>
    <t>Replastering bits knocked off</t>
  </si>
  <si>
    <t>Skimming</t>
  </si>
  <si>
    <t>Clear up</t>
  </si>
  <si>
    <t>Purchase Ledger</t>
  </si>
  <si>
    <t>Code</t>
  </si>
  <si>
    <t>Date</t>
  </si>
  <si>
    <t>Area code</t>
  </si>
  <si>
    <t>Area of activity</t>
  </si>
  <si>
    <t>Description</t>
  </si>
  <si>
    <t>Amount</t>
  </si>
  <si>
    <t>Real Cost</t>
  </si>
  <si>
    <t>MS</t>
  </si>
  <si>
    <t>Backhander to Trotter</t>
  </si>
  <si>
    <t>IE</t>
  </si>
  <si>
    <t>Second-hand video cases</t>
  </si>
  <si>
    <t>OA</t>
  </si>
  <si>
    <t>Raquel's wages</t>
  </si>
  <si>
    <t>Rental on stall</t>
  </si>
  <si>
    <t>Market Stall</t>
  </si>
  <si>
    <t>Protection money</t>
  </si>
  <si>
    <t>Import/Export</t>
  </si>
  <si>
    <t>Rodney's wages</t>
  </si>
  <si>
    <t>Other Activities</t>
  </si>
  <si>
    <t>100 skateboards</t>
  </si>
  <si>
    <t>Heating for office</t>
  </si>
  <si>
    <t>Rent for office</t>
  </si>
  <si>
    <t>100 cabbage patch dolls</t>
  </si>
  <si>
    <t>Christmas trees</t>
  </si>
  <si>
    <t>Fairy lights</t>
  </si>
  <si>
    <t>Name</t>
  </si>
  <si>
    <t>FirstName</t>
  </si>
  <si>
    <t>Gender</t>
  </si>
  <si>
    <t>Income</t>
  </si>
  <si>
    <t>Situation</t>
  </si>
  <si>
    <t>Children</t>
  </si>
  <si>
    <t>Answer-1</t>
  </si>
  <si>
    <t>Answer-2</t>
  </si>
  <si>
    <t>Answer-3</t>
  </si>
  <si>
    <t>Answer-4</t>
  </si>
  <si>
    <t>Answer-5</t>
  </si>
  <si>
    <t>Answer-6</t>
  </si>
  <si>
    <t>John</t>
  </si>
  <si>
    <t>Bob</t>
  </si>
  <si>
    <t>M</t>
  </si>
  <si>
    <t>Relationship</t>
  </si>
  <si>
    <t>Sara</t>
  </si>
  <si>
    <t>Sumit</t>
  </si>
  <si>
    <t>F</t>
  </si>
  <si>
    <t>Married</t>
  </si>
  <si>
    <t>Chandani</t>
  </si>
  <si>
    <t>Robert</t>
  </si>
  <si>
    <t>Jonas</t>
  </si>
  <si>
    <t>Lee</t>
  </si>
  <si>
    <t>Samen</t>
  </si>
  <si>
    <t>Micheal</t>
  </si>
  <si>
    <t>Single</t>
  </si>
  <si>
    <t>Satake</t>
  </si>
  <si>
    <t>Kaori</t>
  </si>
  <si>
    <t>Leon</t>
  </si>
  <si>
    <t>Fernando</t>
  </si>
  <si>
    <t>Beverly</t>
  </si>
  <si>
    <t>Kimberly</t>
  </si>
  <si>
    <t>Warner</t>
  </si>
  <si>
    <t>Norris</t>
  </si>
  <si>
    <t>Divorced</t>
  </si>
  <si>
    <t>Geoffery</t>
  </si>
  <si>
    <t>Marie</t>
  </si>
  <si>
    <t>Charad</t>
  </si>
  <si>
    <t>Mathew</t>
  </si>
  <si>
    <t>Simpson</t>
  </si>
  <si>
    <t>Audery</t>
  </si>
  <si>
    <t>Tortelli</t>
  </si>
  <si>
    <t>David</t>
  </si>
  <si>
    <t>Adcock</t>
  </si>
  <si>
    <t>Olavo</t>
  </si>
  <si>
    <t>Contat</t>
  </si>
  <si>
    <t>Zararri</t>
  </si>
  <si>
    <t>Thibault</t>
  </si>
  <si>
    <t>Jones</t>
  </si>
  <si>
    <t>Stephen</t>
  </si>
  <si>
    <t>1. How many clients are married with one child?</t>
  </si>
  <si>
    <t>2. How many clients are single or divorced?</t>
  </si>
  <si>
    <t>4. How many clients are male,unmarried and without children?</t>
  </si>
  <si>
    <t>5. How many clients are women with 1 or 2 children?</t>
  </si>
  <si>
    <t>6. How many clients are married or in a relationship,with an income greater or equal to 50,000 and have atleast two children?</t>
  </si>
  <si>
    <t>3. How many clients are married with an income above 40,000?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</si>
</sst>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&quot;₹&quot;\ * #,##0.00_ ;_ &quot;₹&quot;\ * \-#,##0.00_ ;_ &quot;₹&quot;\ * &quot;-&quot;??_ ;_ @_ "/>
  </numFmts>
  <fonts count="15" x14ac:knownFonts="1">
    <font>
      <sz val="11"/>
      <color theme="1"/>
      <name val="Rockwell"/>
      <scheme val="minor"/>
    </font>
    <font>
      <b/>
      <sz val="14"/>
      <color theme="1"/>
      <name val="Arial"/>
    </font>
    <font>
      <b/>
      <sz val="14"/>
      <color theme="1"/>
      <name val="Rockwell"/>
    </font>
    <font>
      <sz val="11"/>
      <color theme="1"/>
      <name val="Rockwell"/>
    </font>
    <font>
      <b/>
      <sz val="11"/>
      <color theme="0"/>
      <name val="Rockwell"/>
    </font>
    <font>
      <sz val="11"/>
      <color theme="1"/>
      <name val="Rockwell"/>
      <scheme val="minor"/>
    </font>
    <font>
      <b/>
      <sz val="11"/>
      <color theme="1"/>
      <name val="Rockwell"/>
    </font>
    <font>
      <sz val="14"/>
      <color theme="0"/>
      <name val="Arial"/>
    </font>
    <font>
      <sz val="11"/>
      <color theme="0"/>
      <name val="Rockwell"/>
    </font>
    <font>
      <sz val="11"/>
      <name val="Rockwell"/>
    </font>
    <font>
      <sz val="14"/>
      <color theme="1"/>
      <name val="Arial"/>
    </font>
    <font>
      <sz val="11"/>
      <color theme="1"/>
      <name val="Arial"/>
    </font>
    <font>
      <sz val="11"/>
      <color theme="0"/>
      <name val="Arial"/>
    </font>
    <font>
      <b/>
      <sz val="14"/>
      <color theme="0"/>
      <name val="Arial"/>
    </font>
    <font>
      <sz val="12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D6C1E9"/>
        <bgColor rgb="FFD6C1E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65A0CC"/>
        <bgColor rgb="FF65A0CC"/>
      </patternFill>
    </fill>
    <fill>
      <patternFill patternType="solid">
        <fgColor rgb="FFCBDFEE"/>
        <bgColor rgb="FFCBDFEE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743AA9"/>
        <bgColor rgb="FF743AA9"/>
      </patternFill>
    </fill>
    <fill>
      <patternFill patternType="solid">
        <fgColor rgb="FFC2A3DF"/>
        <bgColor rgb="FFC2A3DF"/>
      </patternFill>
    </fill>
    <fill>
      <patternFill patternType="solid">
        <fgColor rgb="FFEAEAEA"/>
        <bgColor rgb="FFEAEAEA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7" fillId="5" borderId="2" xfId="0" applyFont="1" applyFill="1" applyBorder="1"/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10" fillId="6" borderId="7" xfId="0" applyFont="1" applyFill="1" applyBorder="1"/>
    <xf numFmtId="0" fontId="10" fillId="7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0" fontId="3" fillId="6" borderId="1" xfId="0" applyFont="1" applyFill="1" applyBorder="1"/>
    <xf numFmtId="164" fontId="3" fillId="0" borderId="1" xfId="0" applyNumberFormat="1" applyFont="1" applyBorder="1"/>
    <xf numFmtId="0" fontId="10" fillId="6" borderId="10" xfId="0" applyFont="1" applyFill="1" applyBorder="1"/>
    <xf numFmtId="0" fontId="10" fillId="7" borderId="11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1" fillId="0" borderId="0" xfId="0" applyFont="1"/>
    <xf numFmtId="0" fontId="12" fillId="9" borderId="12" xfId="0" applyFont="1" applyFill="1" applyBorder="1"/>
    <xf numFmtId="0" fontId="12" fillId="9" borderId="13" xfId="0" applyFont="1" applyFill="1" applyBorder="1"/>
    <xf numFmtId="0" fontId="12" fillId="9" borderId="14" xfId="0" applyFont="1" applyFill="1" applyBorder="1"/>
    <xf numFmtId="0" fontId="11" fillId="10" borderId="7" xfId="0" applyFont="1" applyFill="1" applyBorder="1"/>
    <xf numFmtId="0" fontId="11" fillId="10" borderId="8" xfId="0" applyFont="1" applyFill="1" applyBorder="1" applyAlignment="1">
      <alignment horizontal="center"/>
    </xf>
    <xf numFmtId="0" fontId="11" fillId="10" borderId="8" xfId="0" applyFont="1" applyFill="1" applyBorder="1"/>
    <xf numFmtId="0" fontId="11" fillId="10" borderId="15" xfId="0" applyFont="1" applyFill="1" applyBorder="1"/>
    <xf numFmtId="0" fontId="11" fillId="11" borderId="7" xfId="0" applyFont="1" applyFill="1" applyBorder="1" applyAlignment="1">
      <alignment horizontal="center"/>
    </xf>
    <xf numFmtId="1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/>
    <xf numFmtId="0" fontId="11" fillId="11" borderId="10" xfId="0" applyFont="1" applyFill="1" applyBorder="1" applyAlignment="1">
      <alignment horizontal="center"/>
    </xf>
    <xf numFmtId="16" fontId="11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7" xfId="0" applyFont="1" applyBorder="1"/>
    <xf numFmtId="0" fontId="11" fillId="0" borderId="18" xfId="0" applyFont="1" applyBorder="1"/>
    <xf numFmtId="0" fontId="13" fillId="3" borderId="8" xfId="0" applyFont="1" applyFill="1" applyBorder="1" applyAlignment="1">
      <alignment horizontal="center"/>
    </xf>
    <xf numFmtId="0" fontId="14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8" fillId="5" borderId="5" xfId="0" applyFont="1" applyFill="1" applyBorder="1" applyAlignment="1">
      <alignment horizontal="left"/>
    </xf>
    <xf numFmtId="0" fontId="9" fillId="0" borderId="6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D13" sqref="D13"/>
    </sheetView>
  </sheetViews>
  <sheetFormatPr defaultColWidth="12.625" defaultRowHeight="15" customHeight="1" x14ac:dyDescent="0.2"/>
  <cols>
    <col min="1" max="1" width="20.75" customWidth="1"/>
    <col min="2" max="2" width="33.875" customWidth="1"/>
    <col min="3" max="3" width="24" customWidth="1"/>
    <col min="4" max="4" width="20.75" customWidth="1"/>
    <col min="5" max="26" width="8.625" customWidth="1"/>
  </cols>
  <sheetData>
    <row r="1" spans="1:4" ht="13.5" customHeight="1" x14ac:dyDescent="0.2"/>
    <row r="2" spans="1:4" ht="13.5" customHeight="1" x14ac:dyDescent="0.25">
      <c r="A2" s="37" t="s">
        <v>0</v>
      </c>
      <c r="B2" s="38"/>
      <c r="C2" s="38"/>
    </row>
    <row r="3" spans="1:4" ht="13.5" customHeight="1" x14ac:dyDescent="0.2"/>
    <row r="4" spans="1:4" ht="13.5" customHeight="1" x14ac:dyDescent="0.2"/>
    <row r="5" spans="1:4" ht="13.5" customHeight="1" x14ac:dyDescent="0.2"/>
    <row r="6" spans="1:4" ht="13.5" customHeight="1" x14ac:dyDescent="0.3">
      <c r="A6" s="1" t="s">
        <v>1</v>
      </c>
      <c r="B6" s="1" t="s">
        <v>1</v>
      </c>
      <c r="C6" s="1" t="s">
        <v>2</v>
      </c>
      <c r="D6" s="1" t="s">
        <v>3</v>
      </c>
    </row>
    <row r="7" spans="1:4" ht="13.5" customHeight="1" x14ac:dyDescent="0.2">
      <c r="A7" s="2">
        <v>15</v>
      </c>
      <c r="B7" s="2">
        <v>45</v>
      </c>
      <c r="C7" s="2" t="s">
        <v>4</v>
      </c>
      <c r="D7" s="2" t="b">
        <f>B7=A7</f>
        <v>0</v>
      </c>
    </row>
    <row r="8" spans="1:4" ht="13.5" customHeight="1" x14ac:dyDescent="0.2">
      <c r="A8" s="2">
        <v>15</v>
      </c>
      <c r="B8" s="2">
        <v>45</v>
      </c>
      <c r="C8" s="2" t="s">
        <v>5</v>
      </c>
      <c r="D8" s="2" t="b">
        <f>B8&lt;&gt;A8</f>
        <v>1</v>
      </c>
    </row>
    <row r="9" spans="1:4" ht="13.5" customHeight="1" x14ac:dyDescent="0.2">
      <c r="A9" s="2">
        <v>15</v>
      </c>
      <c r="B9" s="2">
        <v>45</v>
      </c>
      <c r="C9" s="2" t="s">
        <v>6</v>
      </c>
      <c r="D9" s="2" t="b">
        <f>B9&gt;A9</f>
        <v>1</v>
      </c>
    </row>
    <row r="10" spans="1:4" ht="13.5" customHeight="1" x14ac:dyDescent="0.2">
      <c r="A10" s="2">
        <v>15</v>
      </c>
      <c r="B10" s="2">
        <v>45</v>
      </c>
      <c r="C10" s="2" t="s">
        <v>7</v>
      </c>
      <c r="D10" s="2" t="b">
        <f>B10&gt;=A10</f>
        <v>1</v>
      </c>
    </row>
    <row r="11" spans="1:4" ht="13.5" customHeight="1" x14ac:dyDescent="0.2">
      <c r="A11" s="2">
        <v>15</v>
      </c>
      <c r="B11" s="2">
        <v>45</v>
      </c>
      <c r="C11" s="2" t="s">
        <v>8</v>
      </c>
      <c r="D11" s="2" t="b">
        <f>B11&lt;A11</f>
        <v>0</v>
      </c>
    </row>
    <row r="12" spans="1:4" ht="13.5" customHeight="1" x14ac:dyDescent="0.2">
      <c r="A12" s="2">
        <v>15</v>
      </c>
      <c r="B12" s="2">
        <v>45</v>
      </c>
      <c r="C12" s="2" t="s">
        <v>9</v>
      </c>
      <c r="D12" s="2" t="b">
        <f>B12&lt;=A12</f>
        <v>0</v>
      </c>
    </row>
    <row r="13" spans="1:4" ht="13.5" customHeight="1" x14ac:dyDescent="0.2"/>
    <row r="14" spans="1:4" ht="13.5" customHeight="1" x14ac:dyDescent="0.2"/>
    <row r="15" spans="1:4" ht="13.5" customHeight="1" x14ac:dyDescent="0.2"/>
    <row r="16" spans="1:4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1">
    <mergeCell ref="A2:C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00"/>
  <sheetViews>
    <sheetView topLeftCell="A13" workbookViewId="0">
      <selection activeCell="I24" sqref="I24"/>
    </sheetView>
  </sheetViews>
  <sheetFormatPr defaultColWidth="12.625" defaultRowHeight="15" customHeight="1" x14ac:dyDescent="0.2"/>
  <cols>
    <col min="1" max="2" width="8.625" customWidth="1"/>
    <col min="3" max="3" width="44.75" customWidth="1"/>
    <col min="4" max="4" width="18.875" customWidth="1"/>
    <col min="5" max="5" width="16.375" customWidth="1"/>
    <col min="6" max="6" width="16.75" customWidth="1"/>
    <col min="7" max="26" width="8.625" customWidth="1"/>
  </cols>
  <sheetData>
    <row r="1" spans="3:7" ht="13.5" customHeight="1" x14ac:dyDescent="0.2"/>
    <row r="2" spans="3:7" ht="13.5" customHeight="1" x14ac:dyDescent="0.25">
      <c r="C2" s="3" t="s">
        <v>10</v>
      </c>
      <c r="D2" s="3" t="s">
        <v>11</v>
      </c>
      <c r="G2" s="4" t="s">
        <v>12</v>
      </c>
    </row>
    <row r="3" spans="3:7" ht="13.5" customHeight="1" x14ac:dyDescent="0.25">
      <c r="C3" s="5">
        <v>25</v>
      </c>
      <c r="D3" s="5">
        <v>45</v>
      </c>
      <c r="G3" s="4" t="s">
        <v>13</v>
      </c>
    </row>
    <row r="4" spans="3:7" ht="13.5" customHeight="1" x14ac:dyDescent="0.2"/>
    <row r="5" spans="3:7" ht="13.5" customHeight="1" x14ac:dyDescent="0.2"/>
    <row r="6" spans="3:7" ht="13.5" customHeight="1" x14ac:dyDescent="0.2"/>
    <row r="7" spans="3:7" ht="13.5" customHeight="1" x14ac:dyDescent="0.25">
      <c r="C7" s="3" t="s">
        <v>14</v>
      </c>
      <c r="D7" s="3" t="s">
        <v>15</v>
      </c>
    </row>
    <row r="8" spans="3:7" ht="13.5" customHeight="1" x14ac:dyDescent="0.2">
      <c r="C8" s="2" t="s">
        <v>16</v>
      </c>
      <c r="D8" s="2" t="b">
        <f>IF(D3&lt;C3,TRUE,FALSE)</f>
        <v>0</v>
      </c>
    </row>
    <row r="9" spans="3:7" ht="13.5" customHeight="1" x14ac:dyDescent="0.2">
      <c r="C9" s="2" t="s">
        <v>17</v>
      </c>
      <c r="D9" s="2">
        <f>IF(D3&gt;C3,1,0)</f>
        <v>1</v>
      </c>
    </row>
    <row r="10" spans="3:7" ht="13.5" customHeight="1" x14ac:dyDescent="0.2">
      <c r="C10" s="2" t="s">
        <v>18</v>
      </c>
      <c r="D10" s="2" t="str">
        <f>IF(D3=C3,"Pass","Fail")</f>
        <v>Fail</v>
      </c>
    </row>
    <row r="11" spans="3:7" ht="13.5" customHeight="1" x14ac:dyDescent="0.2">
      <c r="C11" s="2" t="s">
        <v>19</v>
      </c>
      <c r="D11" s="2" t="str">
        <f>IF(D3=C3,"PASS","FAIL")</f>
        <v>FAIL</v>
      </c>
    </row>
    <row r="12" spans="3:7" ht="13.5" customHeight="1" x14ac:dyDescent="0.2">
      <c r="C12" s="2" t="s">
        <v>20</v>
      </c>
      <c r="D12" s="2" t="str">
        <f>IF(D3&gt;=C3,"YES","NO")</f>
        <v>YES</v>
      </c>
    </row>
    <row r="13" spans="3:7" ht="13.5" customHeight="1" x14ac:dyDescent="0.2">
      <c r="C13" s="2" t="s">
        <v>21</v>
      </c>
      <c r="D13" s="2">
        <f>IF(C3&gt;=D3,C3+D3,0)</f>
        <v>0</v>
      </c>
    </row>
    <row r="14" spans="3:7" ht="13.5" customHeight="1" x14ac:dyDescent="0.2">
      <c r="C14" s="2" t="s">
        <v>22</v>
      </c>
      <c r="D14" s="2"/>
    </row>
    <row r="15" spans="3:7" ht="13.5" customHeight="1" x14ac:dyDescent="0.2"/>
    <row r="16" spans="3:7" ht="13.5" customHeight="1" x14ac:dyDescent="0.2"/>
    <row r="17" spans="3:9" ht="13.5" customHeight="1" x14ac:dyDescent="0.2"/>
    <row r="18" spans="3:9" ht="13.5" customHeight="1" x14ac:dyDescent="0.2"/>
    <row r="19" spans="3:9" ht="13.5" customHeight="1" x14ac:dyDescent="0.2"/>
    <row r="20" spans="3:9" ht="13.5" customHeight="1" x14ac:dyDescent="0.2">
      <c r="C20" s="4" t="s">
        <v>23</v>
      </c>
    </row>
    <row r="21" spans="3:9" ht="13.5" customHeight="1" x14ac:dyDescent="0.2"/>
    <row r="22" spans="3:9" ht="13.5" customHeight="1" x14ac:dyDescent="0.2"/>
    <row r="23" spans="3:9" ht="13.5" customHeight="1" x14ac:dyDescent="0.25">
      <c r="C23" s="6" t="s">
        <v>24</v>
      </c>
      <c r="D23" s="7" t="s">
        <v>25</v>
      </c>
      <c r="E23" s="7" t="s">
        <v>26</v>
      </c>
      <c r="F23" s="8" t="s">
        <v>27</v>
      </c>
      <c r="H23" s="39" t="s">
        <v>28</v>
      </c>
      <c r="I23" s="40"/>
    </row>
    <row r="24" spans="3:9" ht="13.5" customHeight="1" x14ac:dyDescent="0.25">
      <c r="C24" s="9" t="s">
        <v>29</v>
      </c>
      <c r="D24" s="10">
        <v>4</v>
      </c>
      <c r="E24" s="11" t="s">
        <v>30</v>
      </c>
      <c r="F24" s="12">
        <f>IF(E24="Standard",D24*Standard,D24*Overtime)</f>
        <v>200</v>
      </c>
      <c r="H24" s="13" t="s">
        <v>30</v>
      </c>
      <c r="I24" s="14">
        <v>50</v>
      </c>
    </row>
    <row r="25" spans="3:9" ht="13.5" customHeight="1" x14ac:dyDescent="0.25">
      <c r="C25" s="9" t="s">
        <v>31</v>
      </c>
      <c r="D25" s="10">
        <v>0.5</v>
      </c>
      <c r="E25" s="11" t="s">
        <v>30</v>
      </c>
      <c r="F25" s="12">
        <f>IF(E25="Standard",D25*Standard,D25*Overtime)</f>
        <v>25</v>
      </c>
      <c r="H25" s="13" t="s">
        <v>32</v>
      </c>
      <c r="I25" s="14">
        <v>75</v>
      </c>
    </row>
    <row r="26" spans="3:9" ht="13.5" customHeight="1" x14ac:dyDescent="0.25">
      <c r="C26" s="9" t="s">
        <v>33</v>
      </c>
      <c r="D26" s="10">
        <v>3</v>
      </c>
      <c r="E26" s="11" t="s">
        <v>30</v>
      </c>
      <c r="F26" s="12">
        <f>IF(E26="Standard",D26*Standard,D26*Overtime)</f>
        <v>150</v>
      </c>
    </row>
    <row r="27" spans="3:9" ht="13.5" customHeight="1" x14ac:dyDescent="0.25">
      <c r="C27" s="9" t="s">
        <v>33</v>
      </c>
      <c r="D27" s="10">
        <v>1</v>
      </c>
      <c r="E27" s="11" t="s">
        <v>32</v>
      </c>
      <c r="F27" s="12">
        <f>IF(E27="Standard",D27*Standard,D27*Overtime)</f>
        <v>75</v>
      </c>
    </row>
    <row r="28" spans="3:9" ht="13.5" customHeight="1" x14ac:dyDescent="0.25">
      <c r="C28" s="9" t="s">
        <v>34</v>
      </c>
      <c r="D28" s="10">
        <v>7.5</v>
      </c>
      <c r="E28" s="11" t="s">
        <v>35</v>
      </c>
      <c r="F28" s="12">
        <f>IF(E28="Standard",D28*Standard,D28*Overtime)</f>
        <v>562.5</v>
      </c>
    </row>
    <row r="29" spans="3:9" ht="13.5" customHeight="1" x14ac:dyDescent="0.25">
      <c r="C29" s="9" t="s">
        <v>36</v>
      </c>
      <c r="D29" s="10">
        <v>0.5</v>
      </c>
      <c r="E29" s="11" t="s">
        <v>37</v>
      </c>
      <c r="F29" s="12">
        <f>IF(E29="Standard",D29*Standard,D29*Overtime)</f>
        <v>37.5</v>
      </c>
    </row>
    <row r="30" spans="3:9" ht="13.5" customHeight="1" x14ac:dyDescent="0.25">
      <c r="C30" s="9" t="s">
        <v>38</v>
      </c>
      <c r="D30" s="10">
        <v>2</v>
      </c>
      <c r="E30" s="11" t="s">
        <v>37</v>
      </c>
      <c r="F30" s="12">
        <f>IF(E30="Standard",D30*Standard,D30*Overtime)</f>
        <v>150</v>
      </c>
    </row>
    <row r="31" spans="3:9" ht="13.5" customHeight="1" x14ac:dyDescent="0.25">
      <c r="C31" s="9" t="s">
        <v>39</v>
      </c>
      <c r="D31" s="10">
        <v>3</v>
      </c>
      <c r="E31" s="11" t="s">
        <v>30</v>
      </c>
      <c r="F31" s="12">
        <f>IF(E31="Standard",D31*Standard,D31*Overtime)</f>
        <v>150</v>
      </c>
    </row>
    <row r="32" spans="3:9" ht="13.5" customHeight="1" x14ac:dyDescent="0.25">
      <c r="C32" s="9" t="s">
        <v>31</v>
      </c>
      <c r="D32" s="10">
        <v>0.5</v>
      </c>
      <c r="E32" s="11" t="s">
        <v>30</v>
      </c>
      <c r="F32" s="12">
        <f>IF(E32="Standard",D32*Standard,D32*Overtime)</f>
        <v>25</v>
      </c>
    </row>
    <row r="33" spans="3:6" ht="13.5" customHeight="1" x14ac:dyDescent="0.25">
      <c r="C33" s="9" t="s">
        <v>39</v>
      </c>
      <c r="D33" s="10">
        <v>3</v>
      </c>
      <c r="E33" s="11" t="s">
        <v>30</v>
      </c>
      <c r="F33" s="12">
        <f>IF(E33="Standard",D33*Standard,D33*Overtime)</f>
        <v>150</v>
      </c>
    </row>
    <row r="34" spans="3:6" ht="13.5" customHeight="1" x14ac:dyDescent="0.25">
      <c r="C34" s="15" t="s">
        <v>40</v>
      </c>
      <c r="D34" s="16">
        <v>2</v>
      </c>
      <c r="E34" s="17" t="s">
        <v>32</v>
      </c>
      <c r="F34" s="12">
        <f>IF(E34="Standard",D34*Standard,D34*Overtime)</f>
        <v>150</v>
      </c>
    </row>
    <row r="35" spans="3:6" ht="13.5" customHeight="1" x14ac:dyDescent="0.2"/>
    <row r="36" spans="3:6" ht="13.5" customHeight="1" x14ac:dyDescent="0.2"/>
    <row r="37" spans="3:6" ht="13.5" customHeight="1" x14ac:dyDescent="0.2"/>
    <row r="38" spans="3:6" ht="13.5" customHeight="1" x14ac:dyDescent="0.2"/>
    <row r="39" spans="3:6" ht="13.5" customHeight="1" x14ac:dyDescent="0.2"/>
    <row r="40" spans="3:6" ht="13.5" customHeight="1" x14ac:dyDescent="0.2"/>
    <row r="41" spans="3:6" ht="13.5" customHeight="1" x14ac:dyDescent="0.2"/>
    <row r="42" spans="3:6" ht="13.5" customHeight="1" x14ac:dyDescent="0.2"/>
    <row r="43" spans="3:6" ht="13.5" customHeight="1" x14ac:dyDescent="0.2"/>
    <row r="44" spans="3:6" ht="13.5" customHeight="1" x14ac:dyDescent="0.2"/>
    <row r="45" spans="3:6" ht="13.5" customHeight="1" x14ac:dyDescent="0.2"/>
    <row r="46" spans="3:6" ht="13.5" customHeight="1" x14ac:dyDescent="0.2"/>
    <row r="47" spans="3:6" ht="13.5" customHeight="1" x14ac:dyDescent="0.2"/>
    <row r="48" spans="3:6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1">
    <mergeCell ref="H23:I2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F53" sqref="F53"/>
    </sheetView>
  </sheetViews>
  <sheetFormatPr defaultColWidth="12.625" defaultRowHeight="15" customHeight="1" x14ac:dyDescent="0.2"/>
  <cols>
    <col min="1" max="4" width="8.75" customWidth="1"/>
    <col min="5" max="5" width="13.75" customWidth="1"/>
    <col min="6" max="6" width="22" customWidth="1"/>
    <col min="7" max="12" width="8.75" customWidth="1"/>
    <col min="13" max="13" width="18" customWidth="1"/>
    <col min="14" max="26" width="8.625" customWidth="1"/>
  </cols>
  <sheetData>
    <row r="1" spans="1:26" ht="13.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3.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 x14ac:dyDescent="0.2">
      <c r="A4" s="18"/>
      <c r="B4" s="19" t="s">
        <v>41</v>
      </c>
      <c r="C4" s="20"/>
      <c r="D4" s="20"/>
      <c r="E4" s="20"/>
      <c r="F4" s="20"/>
      <c r="G4" s="20"/>
      <c r="H4" s="21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 x14ac:dyDescent="0.2">
      <c r="A5" s="18"/>
      <c r="B5" s="22" t="s">
        <v>42</v>
      </c>
      <c r="C5" s="23" t="s">
        <v>43</v>
      </c>
      <c r="D5" s="23" t="s">
        <v>44</v>
      </c>
      <c r="E5" s="23" t="s">
        <v>45</v>
      </c>
      <c r="F5" s="24" t="s">
        <v>46</v>
      </c>
      <c r="G5" s="24" t="s">
        <v>47</v>
      </c>
      <c r="H5" s="25" t="s">
        <v>48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5" customHeight="1" x14ac:dyDescent="0.2">
      <c r="A6" s="18"/>
      <c r="B6" s="26">
        <v>1</v>
      </c>
      <c r="C6" s="27">
        <v>38627</v>
      </c>
      <c r="D6" s="28" t="s">
        <v>49</v>
      </c>
      <c r="E6" s="18" t="str">
        <f>IF(D6="MS","Market Stall",IF(D6="IE","Import/Export","Other Activities"))</f>
        <v>Market Stall</v>
      </c>
      <c r="F6" s="18" t="s">
        <v>50</v>
      </c>
      <c r="G6" s="18">
        <v>100</v>
      </c>
      <c r="H6" s="29">
        <v>100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 x14ac:dyDescent="0.2">
      <c r="A7" s="18"/>
      <c r="B7" s="26">
        <v>2</v>
      </c>
      <c r="C7" s="27">
        <v>38630</v>
      </c>
      <c r="D7" s="28" t="s">
        <v>51</v>
      </c>
      <c r="E7" s="18" t="str">
        <f t="shared" ref="E7:E30" si="0">IF(D7="MS","Market Stall",IF(D7="IE","Import/Export","Other Activities"))</f>
        <v>Import/Export</v>
      </c>
      <c r="F7" s="18" t="s">
        <v>52</v>
      </c>
      <c r="G7" s="18">
        <v>150</v>
      </c>
      <c r="H7" s="29">
        <v>25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customHeight="1" x14ac:dyDescent="0.2">
      <c r="A8" s="18"/>
      <c r="B8" s="26">
        <v>1</v>
      </c>
      <c r="C8" s="27">
        <v>38636</v>
      </c>
      <c r="D8" s="28" t="s">
        <v>53</v>
      </c>
      <c r="E8" s="18" t="str">
        <f t="shared" si="0"/>
        <v>Other Activities</v>
      </c>
      <c r="F8" s="18" t="s">
        <v>54</v>
      </c>
      <c r="G8" s="18">
        <v>250</v>
      </c>
      <c r="H8" s="29">
        <v>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 x14ac:dyDescent="0.2">
      <c r="A9" s="18"/>
      <c r="B9" s="26">
        <v>3</v>
      </c>
      <c r="C9" s="27">
        <v>38637</v>
      </c>
      <c r="D9" s="28" t="s">
        <v>49</v>
      </c>
      <c r="E9" s="18" t="str">
        <f t="shared" si="0"/>
        <v>Market Stall</v>
      </c>
      <c r="F9" s="18" t="s">
        <v>55</v>
      </c>
      <c r="G9" s="18">
        <v>275</v>
      </c>
      <c r="H9" s="29">
        <v>275</v>
      </c>
      <c r="I9" s="18"/>
      <c r="J9" s="18"/>
      <c r="K9" s="18"/>
      <c r="L9" s="28" t="s">
        <v>49</v>
      </c>
      <c r="M9" s="18" t="s">
        <v>56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5" customHeight="1" x14ac:dyDescent="0.2">
      <c r="A10" s="18"/>
      <c r="B10" s="26">
        <v>2</v>
      </c>
      <c r="C10" s="27">
        <v>38642</v>
      </c>
      <c r="D10" s="28" t="s">
        <v>49</v>
      </c>
      <c r="E10" s="18" t="str">
        <f t="shared" si="0"/>
        <v>Market Stall</v>
      </c>
      <c r="F10" s="18" t="s">
        <v>57</v>
      </c>
      <c r="G10" s="18">
        <v>100</v>
      </c>
      <c r="H10" s="29">
        <v>100</v>
      </c>
      <c r="I10" s="18"/>
      <c r="J10" s="18"/>
      <c r="K10" s="18"/>
      <c r="L10" s="28" t="s">
        <v>51</v>
      </c>
      <c r="M10" s="18" t="s">
        <v>58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 x14ac:dyDescent="0.2">
      <c r="A11" s="18"/>
      <c r="B11" s="26">
        <v>1</v>
      </c>
      <c r="C11" s="27">
        <v>38644</v>
      </c>
      <c r="D11" s="28" t="s">
        <v>53</v>
      </c>
      <c r="E11" s="18" t="str">
        <f t="shared" si="0"/>
        <v>Other Activities</v>
      </c>
      <c r="F11" s="18" t="s">
        <v>59</v>
      </c>
      <c r="G11" s="18">
        <v>220</v>
      </c>
      <c r="H11" s="29">
        <v>100</v>
      </c>
      <c r="I11" s="18"/>
      <c r="J11" s="18"/>
      <c r="K11" s="18"/>
      <c r="L11" s="28" t="s">
        <v>53</v>
      </c>
      <c r="M11" s="18" t="s">
        <v>60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 x14ac:dyDescent="0.2">
      <c r="A12" s="18"/>
      <c r="B12" s="26">
        <v>2</v>
      </c>
      <c r="C12" s="27">
        <v>38650</v>
      </c>
      <c r="D12" s="28" t="s">
        <v>51</v>
      </c>
      <c r="E12" s="18" t="str">
        <f t="shared" si="0"/>
        <v>Import/Export</v>
      </c>
      <c r="F12" s="18" t="s">
        <v>61</v>
      </c>
      <c r="G12" s="18">
        <v>85</v>
      </c>
      <c r="H12" s="29">
        <v>50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 x14ac:dyDescent="0.2">
      <c r="A13" s="18"/>
      <c r="B13" s="26">
        <v>3</v>
      </c>
      <c r="C13" s="27">
        <v>38651</v>
      </c>
      <c r="D13" s="28" t="s">
        <v>53</v>
      </c>
      <c r="E13" s="18" t="str">
        <f t="shared" si="0"/>
        <v>Other Activities</v>
      </c>
      <c r="F13" s="18" t="s">
        <v>62</v>
      </c>
      <c r="G13" s="18">
        <v>43</v>
      </c>
      <c r="H13" s="29">
        <v>43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5" customHeight="1" x14ac:dyDescent="0.2">
      <c r="A14" s="18"/>
      <c r="B14" s="26">
        <v>3</v>
      </c>
      <c r="C14" s="27">
        <v>38655</v>
      </c>
      <c r="D14" s="28" t="s">
        <v>53</v>
      </c>
      <c r="E14" s="18" t="str">
        <f t="shared" si="0"/>
        <v>Other Activities</v>
      </c>
      <c r="F14" s="18" t="s">
        <v>63</v>
      </c>
      <c r="G14" s="18">
        <v>175</v>
      </c>
      <c r="H14" s="29">
        <v>175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5" customHeight="1" x14ac:dyDescent="0.2">
      <c r="A15" s="18"/>
      <c r="B15" s="26">
        <v>1</v>
      </c>
      <c r="C15" s="27">
        <v>38659</v>
      </c>
      <c r="D15" s="28" t="s">
        <v>49</v>
      </c>
      <c r="E15" s="18" t="str">
        <f t="shared" si="0"/>
        <v>Market Stall</v>
      </c>
      <c r="F15" s="18" t="s">
        <v>50</v>
      </c>
      <c r="G15" s="18">
        <v>100</v>
      </c>
      <c r="H15" s="29">
        <v>100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5" customHeight="1" x14ac:dyDescent="0.2">
      <c r="A16" s="18"/>
      <c r="B16" s="26">
        <v>2</v>
      </c>
      <c r="C16" s="27">
        <v>38660</v>
      </c>
      <c r="D16" s="28" t="s">
        <v>49</v>
      </c>
      <c r="E16" s="18" t="str">
        <f t="shared" si="0"/>
        <v>Market Stall</v>
      </c>
      <c r="F16" s="18" t="s">
        <v>64</v>
      </c>
      <c r="G16" s="18">
        <v>75</v>
      </c>
      <c r="H16" s="29">
        <v>50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5" customHeight="1" x14ac:dyDescent="0.2">
      <c r="A17" s="18"/>
      <c r="B17" s="26">
        <v>1</v>
      </c>
      <c r="C17" s="27">
        <v>38667</v>
      </c>
      <c r="D17" s="28" t="s">
        <v>53</v>
      </c>
      <c r="E17" s="18" t="str">
        <f t="shared" si="0"/>
        <v>Other Activities</v>
      </c>
      <c r="F17" s="18" t="s">
        <v>54</v>
      </c>
      <c r="G17" s="18">
        <v>250</v>
      </c>
      <c r="H17" s="29">
        <v>250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5" customHeight="1" x14ac:dyDescent="0.2">
      <c r="A18" s="18"/>
      <c r="B18" s="26">
        <v>3</v>
      </c>
      <c r="C18" s="27">
        <v>38668</v>
      </c>
      <c r="D18" s="28" t="s">
        <v>49</v>
      </c>
      <c r="E18" s="18" t="str">
        <f t="shared" si="0"/>
        <v>Market Stall</v>
      </c>
      <c r="F18" s="18" t="s">
        <v>55</v>
      </c>
      <c r="G18" s="18">
        <v>275</v>
      </c>
      <c r="H18" s="29">
        <v>275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5" customHeight="1" x14ac:dyDescent="0.2">
      <c r="A19" s="18"/>
      <c r="B19" s="26">
        <v>2</v>
      </c>
      <c r="C19" s="27">
        <v>38673</v>
      </c>
      <c r="D19" s="28" t="s">
        <v>49</v>
      </c>
      <c r="E19" s="18" t="str">
        <f t="shared" si="0"/>
        <v>Market Stall</v>
      </c>
      <c r="F19" s="18" t="s">
        <v>57</v>
      </c>
      <c r="G19" s="18">
        <v>100</v>
      </c>
      <c r="H19" s="29">
        <v>100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5" customHeight="1" x14ac:dyDescent="0.2">
      <c r="A20" s="18"/>
      <c r="B20" s="26">
        <v>1</v>
      </c>
      <c r="C20" s="27">
        <v>38675</v>
      </c>
      <c r="D20" s="28" t="s">
        <v>53</v>
      </c>
      <c r="E20" s="18" t="str">
        <f t="shared" si="0"/>
        <v>Other Activities</v>
      </c>
      <c r="F20" s="18" t="s">
        <v>59</v>
      </c>
      <c r="G20" s="18">
        <v>220</v>
      </c>
      <c r="H20" s="29">
        <v>100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5" customHeight="1" x14ac:dyDescent="0.2">
      <c r="A21" s="18"/>
      <c r="B21" s="26">
        <v>3</v>
      </c>
      <c r="C21" s="27">
        <v>38682</v>
      </c>
      <c r="D21" s="28" t="s">
        <v>53</v>
      </c>
      <c r="E21" s="18" t="str">
        <f t="shared" si="0"/>
        <v>Other Activities</v>
      </c>
      <c r="F21" s="18" t="s">
        <v>62</v>
      </c>
      <c r="G21" s="18">
        <v>43</v>
      </c>
      <c r="H21" s="29">
        <v>43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5" customHeight="1" x14ac:dyDescent="0.2">
      <c r="A22" s="18"/>
      <c r="B22" s="26">
        <v>3</v>
      </c>
      <c r="C22" s="27">
        <v>38686</v>
      </c>
      <c r="D22" s="28" t="s">
        <v>53</v>
      </c>
      <c r="E22" s="18" t="str">
        <f t="shared" si="0"/>
        <v>Other Activities</v>
      </c>
      <c r="F22" s="18" t="s">
        <v>63</v>
      </c>
      <c r="G22" s="18">
        <v>175</v>
      </c>
      <c r="H22" s="29">
        <v>175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5" customHeight="1" x14ac:dyDescent="0.2">
      <c r="A23" s="18"/>
      <c r="B23" s="26">
        <v>2</v>
      </c>
      <c r="C23" s="27">
        <v>38691</v>
      </c>
      <c r="D23" s="28" t="s">
        <v>51</v>
      </c>
      <c r="E23" s="18" t="str">
        <f t="shared" si="0"/>
        <v>Import/Export</v>
      </c>
      <c r="F23" s="18" t="s">
        <v>65</v>
      </c>
      <c r="G23" s="18">
        <v>500</v>
      </c>
      <c r="H23" s="29">
        <v>250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5" customHeight="1" x14ac:dyDescent="0.2">
      <c r="A24" s="18"/>
      <c r="B24" s="26">
        <v>2</v>
      </c>
      <c r="C24" s="27">
        <v>38693</v>
      </c>
      <c r="D24" s="28" t="s">
        <v>51</v>
      </c>
      <c r="E24" s="18" t="str">
        <f t="shared" si="0"/>
        <v>Import/Export</v>
      </c>
      <c r="F24" s="18" t="s">
        <v>66</v>
      </c>
      <c r="G24" s="18">
        <v>150</v>
      </c>
      <c r="H24" s="29">
        <v>150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5" customHeight="1" x14ac:dyDescent="0.2">
      <c r="A25" s="18"/>
      <c r="B25" s="26">
        <v>1</v>
      </c>
      <c r="C25" s="27">
        <v>38697</v>
      </c>
      <c r="D25" s="28" t="s">
        <v>53</v>
      </c>
      <c r="E25" s="18" t="str">
        <f t="shared" si="0"/>
        <v>Other Activities</v>
      </c>
      <c r="F25" s="18" t="s">
        <v>54</v>
      </c>
      <c r="G25" s="18">
        <v>250</v>
      </c>
      <c r="H25" s="29">
        <v>50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5" customHeight="1" x14ac:dyDescent="0.2">
      <c r="A26" s="18"/>
      <c r="B26" s="26">
        <v>3</v>
      </c>
      <c r="C26" s="27">
        <v>38698</v>
      </c>
      <c r="D26" s="28" t="s">
        <v>49</v>
      </c>
      <c r="E26" s="18" t="str">
        <f t="shared" si="0"/>
        <v>Market Stall</v>
      </c>
      <c r="F26" s="18" t="s">
        <v>55</v>
      </c>
      <c r="G26" s="18">
        <v>275</v>
      </c>
      <c r="H26" s="29">
        <v>275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5" customHeight="1" x14ac:dyDescent="0.2">
      <c r="A27" s="18"/>
      <c r="B27" s="26">
        <v>2</v>
      </c>
      <c r="C27" s="27">
        <v>38703</v>
      </c>
      <c r="D27" s="28" t="s">
        <v>49</v>
      </c>
      <c r="E27" s="18" t="str">
        <f t="shared" si="0"/>
        <v>Market Stall</v>
      </c>
      <c r="F27" s="18" t="s">
        <v>57</v>
      </c>
      <c r="G27" s="18">
        <v>100</v>
      </c>
      <c r="H27" s="29">
        <v>100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5" customHeight="1" x14ac:dyDescent="0.2">
      <c r="A28" s="18"/>
      <c r="B28" s="26">
        <v>1</v>
      </c>
      <c r="C28" s="27">
        <v>38705</v>
      </c>
      <c r="D28" s="28" t="s">
        <v>53</v>
      </c>
      <c r="E28" s="18" t="str">
        <f t="shared" si="0"/>
        <v>Other Activities</v>
      </c>
      <c r="F28" s="18" t="s">
        <v>59</v>
      </c>
      <c r="G28" s="18">
        <v>220</v>
      </c>
      <c r="H28" s="29">
        <v>100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5" customHeight="1" x14ac:dyDescent="0.2">
      <c r="A29" s="18"/>
      <c r="B29" s="26">
        <v>3</v>
      </c>
      <c r="C29" s="27">
        <v>38712</v>
      </c>
      <c r="D29" s="28" t="s">
        <v>53</v>
      </c>
      <c r="E29" s="18" t="str">
        <f t="shared" si="0"/>
        <v>Other Activities</v>
      </c>
      <c r="F29" s="18" t="s">
        <v>62</v>
      </c>
      <c r="G29" s="18">
        <v>43</v>
      </c>
      <c r="H29" s="29">
        <v>43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5" customHeight="1" x14ac:dyDescent="0.2">
      <c r="A30" s="18"/>
      <c r="B30" s="30">
        <v>3</v>
      </c>
      <c r="C30" s="31">
        <v>38716</v>
      </c>
      <c r="D30" s="32" t="s">
        <v>53</v>
      </c>
      <c r="E30" s="18" t="str">
        <f t="shared" si="0"/>
        <v>Other Activities</v>
      </c>
      <c r="F30" s="33" t="s">
        <v>63</v>
      </c>
      <c r="G30" s="33">
        <v>175</v>
      </c>
      <c r="H30" s="34">
        <v>175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1000"/>
  <sheetViews>
    <sheetView topLeftCell="B1" workbookViewId="0">
      <selection activeCell="H19" sqref="H19"/>
    </sheetView>
  </sheetViews>
  <sheetFormatPr defaultColWidth="12.625" defaultRowHeight="15" customHeight="1" x14ac:dyDescent="0.2"/>
  <cols>
    <col min="1" max="2" width="8.625" customWidth="1"/>
    <col min="3" max="3" width="44.75" customWidth="1"/>
    <col min="4" max="4" width="14.25" customWidth="1"/>
    <col min="5" max="5" width="12" customWidth="1"/>
    <col min="6" max="6" width="44.125" customWidth="1"/>
    <col min="7" max="7" width="8.625" customWidth="1"/>
    <col min="8" max="8" width="9.75" customWidth="1"/>
    <col min="9" max="26" width="8.625" customWidth="1"/>
  </cols>
  <sheetData>
    <row r="1" spans="3:9" ht="13.5" customHeight="1" x14ac:dyDescent="0.2"/>
    <row r="2" spans="3:9" ht="13.5" customHeight="1" x14ac:dyDescent="0.2"/>
    <row r="3" spans="3:9" ht="13.5" customHeight="1" x14ac:dyDescent="0.2"/>
    <row r="4" spans="3:9" ht="13.5" customHeight="1" x14ac:dyDescent="0.2"/>
    <row r="5" spans="3:9" ht="13.5" customHeight="1" x14ac:dyDescent="0.2"/>
    <row r="6" spans="3:9" ht="13.5" customHeight="1" x14ac:dyDescent="0.2"/>
    <row r="7" spans="3:9" ht="13.5" customHeight="1" x14ac:dyDescent="0.25">
      <c r="C7" s="6" t="s">
        <v>24</v>
      </c>
      <c r="D7" s="7" t="s">
        <v>25</v>
      </c>
      <c r="E7" s="7" t="s">
        <v>26</v>
      </c>
      <c r="F7" s="8" t="s">
        <v>27</v>
      </c>
      <c r="H7" s="39" t="s">
        <v>28</v>
      </c>
      <c r="I7" s="40"/>
    </row>
    <row r="8" spans="3:9" ht="13.5" customHeight="1" x14ac:dyDescent="0.25">
      <c r="C8" s="9" t="s">
        <v>29</v>
      </c>
      <c r="D8" s="10">
        <v>4</v>
      </c>
      <c r="E8" s="11" t="s">
        <v>30</v>
      </c>
      <c r="F8" s="12">
        <f>IF(E8="Standard",D8*std,IF(E8="Overtime",D8*ot,IF(E8="Weekend", D8*wk,D8*wot)))</f>
        <v>200</v>
      </c>
      <c r="H8" s="13" t="s">
        <v>30</v>
      </c>
      <c r="I8" s="14">
        <v>50</v>
      </c>
    </row>
    <row r="9" spans="3:9" ht="13.5" customHeight="1" x14ac:dyDescent="0.25">
      <c r="C9" s="9" t="s">
        <v>31</v>
      </c>
      <c r="D9" s="10">
        <v>0.5</v>
      </c>
      <c r="E9" s="11" t="s">
        <v>30</v>
      </c>
      <c r="F9" s="12">
        <f>IF(E9="Standard",D9*std,IF(E9="Overtime",D9*ot,IF(E9="Weekend", D9*wk,D9*wot)))</f>
        <v>25</v>
      </c>
      <c r="H9" s="13" t="s">
        <v>32</v>
      </c>
      <c r="I9" s="14">
        <v>75</v>
      </c>
    </row>
    <row r="10" spans="3:9" ht="13.5" customHeight="1" x14ac:dyDescent="0.25">
      <c r="C10" s="9" t="s">
        <v>33</v>
      </c>
      <c r="D10" s="10">
        <v>3</v>
      </c>
      <c r="E10" s="11" t="s">
        <v>30</v>
      </c>
      <c r="F10" s="12">
        <f>IF(E10="Standard",D10*std,IF(E10="Overtime",D10*ot,IF(E10="Weekend", D10*wk,D10*wot)))</f>
        <v>150</v>
      </c>
      <c r="H10" s="13" t="s">
        <v>35</v>
      </c>
      <c r="I10" s="14">
        <v>85</v>
      </c>
    </row>
    <row r="11" spans="3:9" ht="13.5" customHeight="1" x14ac:dyDescent="0.25">
      <c r="C11" s="9" t="s">
        <v>33</v>
      </c>
      <c r="D11" s="10">
        <v>1</v>
      </c>
      <c r="E11" s="11" t="s">
        <v>32</v>
      </c>
      <c r="F11" s="12">
        <f>IF(E11="Standard",D11*std,IF(E11="Overtime",D11*ot,IF(E11="Weekend", D11*wk,D11*wot)))</f>
        <v>75</v>
      </c>
      <c r="H11" s="13" t="s">
        <v>37</v>
      </c>
      <c r="I11" s="14">
        <v>100</v>
      </c>
    </row>
    <row r="12" spans="3:9" ht="13.5" customHeight="1" x14ac:dyDescent="0.25">
      <c r="C12" s="9" t="s">
        <v>34</v>
      </c>
      <c r="D12" s="10">
        <v>7.5</v>
      </c>
      <c r="E12" s="11" t="s">
        <v>35</v>
      </c>
      <c r="F12" s="12">
        <f>IF(E12="Standard",D12*std,IF(E12="Overtime",D12*ot,IF(E12="Weekend", D12*wk,D12*wot)))</f>
        <v>637.5</v>
      </c>
    </row>
    <row r="13" spans="3:9" ht="13.5" customHeight="1" x14ac:dyDescent="0.25">
      <c r="C13" s="9" t="s">
        <v>36</v>
      </c>
      <c r="D13" s="10">
        <v>0.5</v>
      </c>
      <c r="E13" s="11" t="s">
        <v>37</v>
      </c>
      <c r="F13" s="12">
        <f>IF(E13="Standard",D13*std,IF(E13="Overtime",D13*ot,IF(E13="Weekend", D13*wk,D13*wot)))</f>
        <v>50</v>
      </c>
    </row>
    <row r="14" spans="3:9" ht="13.5" customHeight="1" x14ac:dyDescent="0.25">
      <c r="C14" s="9" t="s">
        <v>38</v>
      </c>
      <c r="D14" s="10">
        <v>2</v>
      </c>
      <c r="E14" s="11" t="s">
        <v>37</v>
      </c>
      <c r="F14" s="12">
        <f>IF(E14="Standard",D14*std,IF(E14="Overtime",D14*ot,IF(E14="Weekend", D14*wk,D14*wot)))</f>
        <v>200</v>
      </c>
    </row>
    <row r="15" spans="3:9" ht="13.5" customHeight="1" x14ac:dyDescent="0.25">
      <c r="C15" s="9" t="s">
        <v>39</v>
      </c>
      <c r="D15" s="10">
        <v>3</v>
      </c>
      <c r="E15" s="11" t="s">
        <v>30</v>
      </c>
      <c r="F15" s="12">
        <f>IF(E15="Standard",D15*std,IF(E15="Overtime",D15*ot,IF(E15="Weekend", D15*wk,D15*wot)))</f>
        <v>150</v>
      </c>
    </row>
    <row r="16" spans="3:9" ht="13.5" customHeight="1" x14ac:dyDescent="0.25">
      <c r="C16" s="9" t="s">
        <v>31</v>
      </c>
      <c r="D16" s="10">
        <v>0.5</v>
      </c>
      <c r="E16" s="11" t="s">
        <v>30</v>
      </c>
      <c r="F16" s="12">
        <f>IF(E16="Standard",D16*std,IF(E16="Overtime",D16*ot,IF(E16="Weekend", D16*wk,D16*wot)))</f>
        <v>25</v>
      </c>
    </row>
    <row r="17" spans="3:9" ht="13.5" customHeight="1" x14ac:dyDescent="0.25">
      <c r="C17" s="9" t="s">
        <v>39</v>
      </c>
      <c r="D17" s="10">
        <v>3</v>
      </c>
      <c r="E17" s="11" t="s">
        <v>30</v>
      </c>
      <c r="F17" s="12">
        <f>IF(E17="Standard",D17*std,IF(E17="Overtime",D17*ot,IF(E17="Weekend", D17*wk,D17*wot)))</f>
        <v>150</v>
      </c>
    </row>
    <row r="18" spans="3:9" ht="13.5" customHeight="1" x14ac:dyDescent="0.25">
      <c r="C18" s="15" t="s">
        <v>40</v>
      </c>
      <c r="D18" s="16">
        <v>2</v>
      </c>
      <c r="E18" s="17" t="s">
        <v>32</v>
      </c>
      <c r="F18" s="12">
        <f>IF(E18="Standard",D18*std,IF(E18="Overtime",D18*ot,IF(E18="Weekend", D18*wk,D18*wot)))</f>
        <v>150</v>
      </c>
    </row>
    <row r="19" spans="3:9" ht="13.5" customHeight="1" x14ac:dyDescent="0.2"/>
    <row r="20" spans="3:9" ht="13.5" customHeight="1" x14ac:dyDescent="0.2"/>
    <row r="21" spans="3:9" ht="13.5" customHeight="1" x14ac:dyDescent="0.2"/>
    <row r="22" spans="3:9" ht="13.5" customHeight="1" x14ac:dyDescent="0.2"/>
    <row r="23" spans="3:9" ht="13.5" customHeight="1" x14ac:dyDescent="0.2"/>
    <row r="24" spans="3:9" ht="13.5" customHeight="1" x14ac:dyDescent="0.2"/>
    <row r="25" spans="3:9" ht="13.5" customHeight="1" x14ac:dyDescent="0.2"/>
    <row r="26" spans="3:9" ht="13.5" customHeight="1" x14ac:dyDescent="0.2"/>
    <row r="27" spans="3:9" ht="13.5" customHeight="1" x14ac:dyDescent="0.2"/>
    <row r="28" spans="3:9" ht="13.5" customHeight="1" x14ac:dyDescent="0.2"/>
    <row r="29" spans="3:9" ht="13.5" customHeight="1" x14ac:dyDescent="0.25">
      <c r="C29" s="6" t="s">
        <v>24</v>
      </c>
      <c r="D29" s="7" t="s">
        <v>25</v>
      </c>
      <c r="E29" s="7" t="s">
        <v>26</v>
      </c>
      <c r="F29" s="8" t="s">
        <v>27</v>
      </c>
      <c r="H29" s="39" t="s">
        <v>28</v>
      </c>
      <c r="I29" s="40"/>
    </row>
    <row r="30" spans="3:9" ht="13.5" customHeight="1" x14ac:dyDescent="0.25">
      <c r="C30" s="9" t="s">
        <v>29</v>
      </c>
      <c r="D30" s="10">
        <v>4</v>
      </c>
      <c r="E30" s="11" t="s">
        <v>30</v>
      </c>
      <c r="F30" s="12">
        <f t="shared" ref="F30:F40" si="0">IF(E30="Standard",$D30*$I$30,IF(E30="Overtime",$D30*$I$31,IF(E30="Weekend",$D30*$I$32,$D30*$I$33)))</f>
        <v>200</v>
      </c>
      <c r="H30" s="13" t="s">
        <v>30</v>
      </c>
      <c r="I30" s="14">
        <v>50</v>
      </c>
    </row>
    <row r="31" spans="3:9" ht="13.5" customHeight="1" x14ac:dyDescent="0.25">
      <c r="C31" s="9" t="s">
        <v>31</v>
      </c>
      <c r="D31" s="10">
        <v>0.5</v>
      </c>
      <c r="E31" s="11" t="s">
        <v>30</v>
      </c>
      <c r="F31" s="12">
        <f t="shared" si="0"/>
        <v>25</v>
      </c>
      <c r="H31" s="13" t="s">
        <v>32</v>
      </c>
      <c r="I31" s="14">
        <v>75</v>
      </c>
    </row>
    <row r="32" spans="3:9" ht="13.5" customHeight="1" x14ac:dyDescent="0.25">
      <c r="C32" s="9" t="s">
        <v>33</v>
      </c>
      <c r="D32" s="10">
        <v>3</v>
      </c>
      <c r="E32" s="11" t="s">
        <v>30</v>
      </c>
      <c r="F32" s="12">
        <f t="shared" si="0"/>
        <v>150</v>
      </c>
      <c r="H32" s="13" t="s">
        <v>35</v>
      </c>
      <c r="I32" s="14">
        <v>85</v>
      </c>
    </row>
    <row r="33" spans="3:9" ht="13.5" customHeight="1" x14ac:dyDescent="0.25">
      <c r="C33" s="9" t="s">
        <v>33</v>
      </c>
      <c r="D33" s="10">
        <v>1</v>
      </c>
      <c r="E33" s="11" t="s">
        <v>32</v>
      </c>
      <c r="F33" s="12">
        <f t="shared" si="0"/>
        <v>75</v>
      </c>
      <c r="H33" s="13" t="s">
        <v>37</v>
      </c>
      <c r="I33" s="14">
        <v>100</v>
      </c>
    </row>
    <row r="34" spans="3:9" ht="13.5" customHeight="1" x14ac:dyDescent="0.25">
      <c r="C34" s="9" t="s">
        <v>34</v>
      </c>
      <c r="D34" s="10">
        <v>7.5</v>
      </c>
      <c r="E34" s="11" t="s">
        <v>35</v>
      </c>
      <c r="F34" s="12">
        <f t="shared" si="0"/>
        <v>637.5</v>
      </c>
    </row>
    <row r="35" spans="3:9" ht="13.5" customHeight="1" x14ac:dyDescent="0.25">
      <c r="C35" s="9" t="s">
        <v>36</v>
      </c>
      <c r="D35" s="10">
        <v>0.5</v>
      </c>
      <c r="E35" s="11" t="s">
        <v>37</v>
      </c>
      <c r="F35" s="12">
        <f t="shared" si="0"/>
        <v>50</v>
      </c>
    </row>
    <row r="36" spans="3:9" ht="13.5" customHeight="1" x14ac:dyDescent="0.25">
      <c r="C36" s="9" t="s">
        <v>38</v>
      </c>
      <c r="D36" s="10">
        <v>2</v>
      </c>
      <c r="E36" s="11" t="s">
        <v>37</v>
      </c>
      <c r="F36" s="12">
        <f t="shared" si="0"/>
        <v>200</v>
      </c>
    </row>
    <row r="37" spans="3:9" ht="13.5" customHeight="1" x14ac:dyDescent="0.25">
      <c r="C37" s="9" t="s">
        <v>39</v>
      </c>
      <c r="D37" s="10">
        <v>3</v>
      </c>
      <c r="E37" s="11" t="s">
        <v>30</v>
      </c>
      <c r="F37" s="12">
        <f t="shared" si="0"/>
        <v>150</v>
      </c>
    </row>
    <row r="38" spans="3:9" ht="13.5" customHeight="1" x14ac:dyDescent="0.25">
      <c r="C38" s="9" t="s">
        <v>31</v>
      </c>
      <c r="D38" s="10">
        <v>0.5</v>
      </c>
      <c r="E38" s="11" t="s">
        <v>30</v>
      </c>
      <c r="F38" s="12">
        <f t="shared" si="0"/>
        <v>25</v>
      </c>
    </row>
    <row r="39" spans="3:9" ht="13.5" customHeight="1" x14ac:dyDescent="0.25">
      <c r="C39" s="9" t="s">
        <v>39</v>
      </c>
      <c r="D39" s="10">
        <v>3</v>
      </c>
      <c r="E39" s="11" t="s">
        <v>30</v>
      </c>
      <c r="F39" s="12">
        <f t="shared" si="0"/>
        <v>150</v>
      </c>
    </row>
    <row r="40" spans="3:9" ht="13.5" customHeight="1" x14ac:dyDescent="0.25">
      <c r="C40" s="15" t="s">
        <v>40</v>
      </c>
      <c r="D40" s="16">
        <v>2</v>
      </c>
      <c r="E40" s="17" t="s">
        <v>32</v>
      </c>
      <c r="F40" s="12">
        <f t="shared" si="0"/>
        <v>150</v>
      </c>
    </row>
    <row r="41" spans="3:9" ht="13.5" customHeight="1" x14ac:dyDescent="0.2"/>
    <row r="42" spans="3:9" ht="13.5" customHeight="1" x14ac:dyDescent="0.2"/>
    <row r="43" spans="3:9" ht="13.5" customHeight="1" x14ac:dyDescent="0.2"/>
    <row r="44" spans="3:9" ht="13.5" customHeight="1" x14ac:dyDescent="0.2"/>
    <row r="45" spans="3:9" ht="13.5" customHeight="1" x14ac:dyDescent="0.2"/>
    <row r="46" spans="3:9" ht="13.5" customHeight="1" x14ac:dyDescent="0.2"/>
    <row r="47" spans="3:9" ht="13.5" customHeight="1" x14ac:dyDescent="0.2"/>
    <row r="48" spans="3:9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mergeCells count="2">
    <mergeCell ref="H7:I7"/>
    <mergeCell ref="H29:I2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B1" workbookViewId="0">
      <selection activeCell="L3" sqref="L3"/>
    </sheetView>
  </sheetViews>
  <sheetFormatPr defaultColWidth="12.625" defaultRowHeight="15" customHeight="1" x14ac:dyDescent="0.2"/>
  <cols>
    <col min="1" max="6" width="15.75" customWidth="1"/>
    <col min="7" max="7" width="16" customWidth="1"/>
    <col min="8" max="8" width="16.125" customWidth="1"/>
    <col min="9" max="9" width="12.125" customWidth="1"/>
    <col min="10" max="10" width="13.25" customWidth="1"/>
    <col min="11" max="11" width="11.25" customWidth="1"/>
    <col min="12" max="12" width="11.75" customWidth="1"/>
    <col min="13" max="26" width="8.625" customWidth="1"/>
  </cols>
  <sheetData>
    <row r="1" spans="1:12" ht="13.5" customHeight="1" x14ac:dyDescent="0.2"/>
    <row r="2" spans="1:12" ht="13.5" customHeight="1" x14ac:dyDescent="0.25">
      <c r="A2" s="35" t="s">
        <v>67</v>
      </c>
      <c r="B2" s="35" t="s">
        <v>68</v>
      </c>
      <c r="C2" s="35" t="s">
        <v>69</v>
      </c>
      <c r="D2" s="35" t="s">
        <v>70</v>
      </c>
      <c r="E2" s="35" t="s">
        <v>71</v>
      </c>
      <c r="F2" s="35" t="s">
        <v>72</v>
      </c>
      <c r="G2" s="35" t="s">
        <v>73</v>
      </c>
      <c r="H2" s="35" t="s">
        <v>74</v>
      </c>
      <c r="I2" s="35" t="s">
        <v>75</v>
      </c>
      <c r="J2" s="35" t="s">
        <v>76</v>
      </c>
      <c r="K2" s="35" t="s">
        <v>77</v>
      </c>
      <c r="L2" s="35" t="s">
        <v>78</v>
      </c>
    </row>
    <row r="3" spans="1:12" ht="13.5" customHeight="1" x14ac:dyDescent="0.2">
      <c r="A3" s="36" t="s">
        <v>79</v>
      </c>
      <c r="B3" s="36" t="s">
        <v>80</v>
      </c>
      <c r="C3" s="4" t="s">
        <v>81</v>
      </c>
      <c r="D3" s="4">
        <v>20000</v>
      </c>
      <c r="E3" s="4" t="s">
        <v>82</v>
      </c>
      <c r="F3" s="4">
        <v>0</v>
      </c>
      <c r="G3">
        <f>IF(AND(E3="Married",F3=1),1,0)</f>
        <v>0</v>
      </c>
      <c r="H3">
        <f>IF(OR(E3="Single",E3="Divorced"),1,0)</f>
        <v>0</v>
      </c>
      <c r="I3">
        <f>IF(AND(E3="Married",D3&gt;40000),1,0)</f>
        <v>0</v>
      </c>
      <c r="J3">
        <f>IF(AND(C3="M",E3="Single",F3=0),1,0)</f>
        <v>0</v>
      </c>
      <c r="K3">
        <f>IF(AND(C3="F",OR(F3=1,F3=2)),1,0)</f>
        <v>0</v>
      </c>
      <c r="L3">
        <f>IF(AND(OR(E3="Married",E3="Relationship"),D3&gt;=50000),1,0)</f>
        <v>0</v>
      </c>
    </row>
    <row r="4" spans="1:12" ht="13.5" customHeight="1" x14ac:dyDescent="0.2">
      <c r="A4" s="36" t="s">
        <v>83</v>
      </c>
      <c r="B4" s="36" t="s">
        <v>84</v>
      </c>
      <c r="C4" s="4" t="s">
        <v>85</v>
      </c>
      <c r="D4" s="4">
        <v>25000</v>
      </c>
      <c r="E4" s="4" t="s">
        <v>86</v>
      </c>
      <c r="F4" s="4">
        <v>1</v>
      </c>
      <c r="G4">
        <f t="shared" ref="G4:G19" si="0">IF(AND(E4="Married",F4=1),1,0)</f>
        <v>1</v>
      </c>
      <c r="H4">
        <f>IF(OR(E4="Single",E4="Divorced"),1,0)</f>
        <v>0</v>
      </c>
      <c r="I4">
        <f t="shared" ref="I4:I19" si="1">IF(AND(E4="Married",D4&gt;40000),1,0)</f>
        <v>0</v>
      </c>
      <c r="J4">
        <f t="shared" ref="J4:J19" si="2">IF(AND(C4="M",E4="Single",F4=0),1,0)</f>
        <v>0</v>
      </c>
      <c r="K4">
        <f t="shared" ref="K4:K19" si="3">IF(AND(C4="F",OR(F4=1,F4=2)),1,0)</f>
        <v>1</v>
      </c>
    </row>
    <row r="5" spans="1:12" ht="13.5" customHeight="1" x14ac:dyDescent="0.2">
      <c r="A5" s="36" t="s">
        <v>87</v>
      </c>
      <c r="B5" s="36" t="s">
        <v>88</v>
      </c>
      <c r="C5" s="4" t="s">
        <v>81</v>
      </c>
      <c r="D5" s="4">
        <v>45000</v>
      </c>
      <c r="E5" s="4" t="s">
        <v>86</v>
      </c>
      <c r="F5" s="4">
        <v>0</v>
      </c>
      <c r="G5">
        <f t="shared" si="0"/>
        <v>0</v>
      </c>
      <c r="H5">
        <f t="shared" ref="H5:H19" si="4">IF(OR(E5="Single",E5="Divorced"),1,0)</f>
        <v>0</v>
      </c>
      <c r="I5">
        <f t="shared" si="1"/>
        <v>1</v>
      </c>
      <c r="J5">
        <f t="shared" si="2"/>
        <v>0</v>
      </c>
      <c r="K5">
        <f t="shared" si="3"/>
        <v>0</v>
      </c>
    </row>
    <row r="6" spans="1:12" ht="13.5" customHeight="1" x14ac:dyDescent="0.2">
      <c r="A6" s="36" t="s">
        <v>89</v>
      </c>
      <c r="B6" s="36" t="s">
        <v>90</v>
      </c>
      <c r="C6" s="4" t="s">
        <v>81</v>
      </c>
      <c r="D6" s="4">
        <v>41000</v>
      </c>
      <c r="E6" s="4" t="s">
        <v>82</v>
      </c>
      <c r="F6" s="4">
        <v>0</v>
      </c>
      <c r="G6">
        <f t="shared" si="0"/>
        <v>0</v>
      </c>
      <c r="H6">
        <f t="shared" si="4"/>
        <v>0</v>
      </c>
      <c r="I6">
        <f t="shared" si="1"/>
        <v>0</v>
      </c>
      <c r="J6">
        <f t="shared" si="2"/>
        <v>0</v>
      </c>
      <c r="K6">
        <f t="shared" si="3"/>
        <v>0</v>
      </c>
    </row>
    <row r="7" spans="1:12" ht="13.5" customHeight="1" x14ac:dyDescent="0.2">
      <c r="A7" s="36" t="s">
        <v>91</v>
      </c>
      <c r="B7" s="36" t="s">
        <v>92</v>
      </c>
      <c r="C7" s="4" t="s">
        <v>81</v>
      </c>
      <c r="D7" s="4">
        <v>85000</v>
      </c>
      <c r="E7" s="4" t="s">
        <v>93</v>
      </c>
      <c r="F7" s="4">
        <v>0</v>
      </c>
      <c r="G7">
        <f t="shared" si="0"/>
        <v>0</v>
      </c>
      <c r="H7">
        <f t="shared" si="4"/>
        <v>1</v>
      </c>
      <c r="I7">
        <f t="shared" si="1"/>
        <v>0</v>
      </c>
      <c r="J7">
        <f t="shared" si="2"/>
        <v>1</v>
      </c>
      <c r="K7">
        <f t="shared" si="3"/>
        <v>0</v>
      </c>
    </row>
    <row r="8" spans="1:12" ht="13.5" customHeight="1" x14ac:dyDescent="0.2">
      <c r="A8" s="36" t="s">
        <v>94</v>
      </c>
      <c r="B8" s="36" t="s">
        <v>95</v>
      </c>
      <c r="C8" s="4" t="s">
        <v>81</v>
      </c>
      <c r="D8" s="4">
        <v>45212</v>
      </c>
      <c r="E8" s="4" t="s">
        <v>86</v>
      </c>
      <c r="F8" s="4">
        <v>3</v>
      </c>
      <c r="G8">
        <f t="shared" si="0"/>
        <v>0</v>
      </c>
      <c r="H8">
        <f t="shared" si="4"/>
        <v>0</v>
      </c>
      <c r="I8">
        <f t="shared" si="1"/>
        <v>1</v>
      </c>
      <c r="J8">
        <f t="shared" si="2"/>
        <v>0</v>
      </c>
      <c r="K8">
        <f t="shared" si="3"/>
        <v>0</v>
      </c>
    </row>
    <row r="9" spans="1:12" ht="13.5" customHeight="1" x14ac:dyDescent="0.2">
      <c r="A9" s="36" t="s">
        <v>96</v>
      </c>
      <c r="B9" s="36" t="s">
        <v>97</v>
      </c>
      <c r="C9" s="4" t="s">
        <v>81</v>
      </c>
      <c r="D9" s="4">
        <v>70000</v>
      </c>
      <c r="E9" s="4" t="s">
        <v>93</v>
      </c>
      <c r="F9" s="4">
        <v>3</v>
      </c>
      <c r="G9">
        <f t="shared" si="0"/>
        <v>0</v>
      </c>
      <c r="H9">
        <f t="shared" si="4"/>
        <v>1</v>
      </c>
      <c r="I9">
        <f t="shared" si="1"/>
        <v>0</v>
      </c>
      <c r="J9">
        <f t="shared" si="2"/>
        <v>0</v>
      </c>
      <c r="K9">
        <f t="shared" si="3"/>
        <v>0</v>
      </c>
    </row>
    <row r="10" spans="1:12" ht="13.5" customHeight="1" x14ac:dyDescent="0.2">
      <c r="A10" s="36" t="s">
        <v>98</v>
      </c>
      <c r="B10" s="36" t="s">
        <v>99</v>
      </c>
      <c r="C10" s="4" t="s">
        <v>85</v>
      </c>
      <c r="D10" s="4">
        <v>45000</v>
      </c>
      <c r="E10" s="4" t="s">
        <v>82</v>
      </c>
      <c r="F10" s="4">
        <v>1</v>
      </c>
      <c r="G10">
        <f t="shared" si="0"/>
        <v>0</v>
      </c>
      <c r="H10">
        <f t="shared" si="4"/>
        <v>0</v>
      </c>
      <c r="I10">
        <f t="shared" si="1"/>
        <v>0</v>
      </c>
      <c r="J10">
        <f t="shared" si="2"/>
        <v>0</v>
      </c>
      <c r="K10">
        <f t="shared" si="3"/>
        <v>1</v>
      </c>
    </row>
    <row r="11" spans="1:12" ht="13.5" customHeight="1" x14ac:dyDescent="0.2">
      <c r="A11" s="36" t="s">
        <v>100</v>
      </c>
      <c r="B11" s="36" t="s">
        <v>101</v>
      </c>
      <c r="C11" s="4" t="s">
        <v>81</v>
      </c>
      <c r="D11" s="4">
        <v>52000</v>
      </c>
      <c r="E11" s="4" t="s">
        <v>102</v>
      </c>
      <c r="F11" s="4">
        <v>3</v>
      </c>
      <c r="G11">
        <f t="shared" si="0"/>
        <v>0</v>
      </c>
      <c r="H11">
        <f t="shared" si="4"/>
        <v>1</v>
      </c>
      <c r="I11">
        <f t="shared" si="1"/>
        <v>0</v>
      </c>
      <c r="J11">
        <f t="shared" si="2"/>
        <v>0</v>
      </c>
      <c r="K11">
        <f t="shared" si="3"/>
        <v>0</v>
      </c>
    </row>
    <row r="12" spans="1:12" ht="13.5" customHeight="1" x14ac:dyDescent="0.2">
      <c r="A12" s="36" t="s">
        <v>103</v>
      </c>
      <c r="B12" s="36" t="s">
        <v>104</v>
      </c>
      <c r="C12" s="4" t="s">
        <v>85</v>
      </c>
      <c r="D12" s="4">
        <v>61000</v>
      </c>
      <c r="E12" s="4" t="s">
        <v>82</v>
      </c>
      <c r="F12" s="4">
        <v>0</v>
      </c>
      <c r="G12">
        <f t="shared" si="0"/>
        <v>0</v>
      </c>
      <c r="H12">
        <f t="shared" si="4"/>
        <v>0</v>
      </c>
      <c r="I12">
        <f t="shared" si="1"/>
        <v>0</v>
      </c>
      <c r="J12">
        <f t="shared" si="2"/>
        <v>0</v>
      </c>
      <c r="K12">
        <f t="shared" si="3"/>
        <v>0</v>
      </c>
    </row>
    <row r="13" spans="1:12" ht="13.5" customHeight="1" x14ac:dyDescent="0.2">
      <c r="A13" s="36" t="s">
        <v>105</v>
      </c>
      <c r="B13" s="36" t="s">
        <v>106</v>
      </c>
      <c r="C13" s="4" t="s">
        <v>85</v>
      </c>
      <c r="D13" s="4">
        <v>54000</v>
      </c>
      <c r="E13" s="4" t="s">
        <v>82</v>
      </c>
      <c r="F13" s="4">
        <v>2</v>
      </c>
      <c r="G13">
        <f t="shared" si="0"/>
        <v>0</v>
      </c>
      <c r="H13">
        <f t="shared" si="4"/>
        <v>0</v>
      </c>
      <c r="I13">
        <f t="shared" si="1"/>
        <v>0</v>
      </c>
      <c r="J13">
        <f t="shared" si="2"/>
        <v>0</v>
      </c>
      <c r="K13">
        <f t="shared" si="3"/>
        <v>1</v>
      </c>
    </row>
    <row r="14" spans="1:12" ht="13.5" customHeight="1" x14ac:dyDescent="0.2">
      <c r="A14" s="36" t="s">
        <v>107</v>
      </c>
      <c r="B14" s="36" t="s">
        <v>108</v>
      </c>
      <c r="C14" s="4" t="s">
        <v>81</v>
      </c>
      <c r="D14" s="4">
        <v>47000</v>
      </c>
      <c r="E14" s="4" t="s">
        <v>93</v>
      </c>
      <c r="F14" s="4">
        <v>0</v>
      </c>
      <c r="G14">
        <f t="shared" si="0"/>
        <v>0</v>
      </c>
      <c r="H14">
        <f t="shared" si="4"/>
        <v>1</v>
      </c>
      <c r="I14">
        <f t="shared" si="1"/>
        <v>0</v>
      </c>
      <c r="J14">
        <f t="shared" si="2"/>
        <v>1</v>
      </c>
      <c r="K14">
        <f t="shared" si="3"/>
        <v>0</v>
      </c>
    </row>
    <row r="15" spans="1:12" ht="13.5" customHeight="1" x14ac:dyDescent="0.2">
      <c r="A15" s="36" t="s">
        <v>109</v>
      </c>
      <c r="B15" s="36" t="s">
        <v>110</v>
      </c>
      <c r="C15" s="4" t="s">
        <v>85</v>
      </c>
      <c r="D15" s="4">
        <v>14500</v>
      </c>
      <c r="E15" s="4" t="s">
        <v>102</v>
      </c>
      <c r="F15" s="4">
        <v>2</v>
      </c>
      <c r="G15">
        <f t="shared" si="0"/>
        <v>0</v>
      </c>
      <c r="H15">
        <f t="shared" si="4"/>
        <v>1</v>
      </c>
      <c r="I15">
        <f t="shared" si="1"/>
        <v>0</v>
      </c>
      <c r="J15">
        <f t="shared" si="2"/>
        <v>0</v>
      </c>
      <c r="K15">
        <f t="shared" si="3"/>
        <v>1</v>
      </c>
    </row>
    <row r="16" spans="1:12" ht="13.5" customHeight="1" x14ac:dyDescent="0.2">
      <c r="A16" s="36" t="s">
        <v>111</v>
      </c>
      <c r="B16" s="36" t="s">
        <v>112</v>
      </c>
      <c r="C16" s="4" t="s">
        <v>85</v>
      </c>
      <c r="D16" s="4">
        <v>56000</v>
      </c>
      <c r="E16" s="4" t="s">
        <v>82</v>
      </c>
      <c r="F16" s="4">
        <v>0</v>
      </c>
      <c r="G16">
        <f t="shared" si="0"/>
        <v>0</v>
      </c>
      <c r="H16">
        <f t="shared" si="4"/>
        <v>0</v>
      </c>
      <c r="I16">
        <f t="shared" si="1"/>
        <v>0</v>
      </c>
      <c r="J16">
        <f t="shared" si="2"/>
        <v>0</v>
      </c>
      <c r="K16">
        <f t="shared" si="3"/>
        <v>0</v>
      </c>
    </row>
    <row r="17" spans="1:11" ht="13.5" customHeight="1" x14ac:dyDescent="0.2">
      <c r="A17" s="36" t="s">
        <v>113</v>
      </c>
      <c r="B17" s="36" t="s">
        <v>110</v>
      </c>
      <c r="C17" s="4" t="s">
        <v>81</v>
      </c>
      <c r="D17" s="4">
        <v>28000</v>
      </c>
      <c r="E17" s="4" t="s">
        <v>93</v>
      </c>
      <c r="F17" s="4">
        <v>2</v>
      </c>
      <c r="G17">
        <f t="shared" si="0"/>
        <v>0</v>
      </c>
      <c r="H17">
        <f t="shared" si="4"/>
        <v>1</v>
      </c>
      <c r="I17">
        <f t="shared" si="1"/>
        <v>0</v>
      </c>
      <c r="J17">
        <f t="shared" si="2"/>
        <v>0</v>
      </c>
      <c r="K17">
        <f t="shared" si="3"/>
        <v>0</v>
      </c>
    </row>
    <row r="18" spans="1:11" ht="13.5" customHeight="1" x14ac:dyDescent="0.2">
      <c r="A18" s="36" t="s">
        <v>114</v>
      </c>
      <c r="B18" s="36" t="s">
        <v>115</v>
      </c>
      <c r="C18" s="4" t="s">
        <v>85</v>
      </c>
      <c r="D18" s="4">
        <v>46000</v>
      </c>
      <c r="E18" s="4" t="s">
        <v>93</v>
      </c>
      <c r="F18" s="4">
        <v>3</v>
      </c>
      <c r="G18">
        <f t="shared" si="0"/>
        <v>0</v>
      </c>
      <c r="H18">
        <f t="shared" si="4"/>
        <v>1</v>
      </c>
      <c r="I18">
        <f t="shared" si="1"/>
        <v>0</v>
      </c>
      <c r="J18">
        <f t="shared" si="2"/>
        <v>0</v>
      </c>
      <c r="K18">
        <f t="shared" si="3"/>
        <v>0</v>
      </c>
    </row>
    <row r="19" spans="1:11" ht="13.5" customHeight="1" x14ac:dyDescent="0.2">
      <c r="A19" s="36" t="s">
        <v>116</v>
      </c>
      <c r="B19" s="36" t="s">
        <v>117</v>
      </c>
      <c r="C19" s="4" t="s">
        <v>81</v>
      </c>
      <c r="D19" s="4">
        <v>42000</v>
      </c>
      <c r="E19" s="4" t="s">
        <v>93</v>
      </c>
      <c r="F19" s="4">
        <v>1</v>
      </c>
      <c r="G19">
        <f t="shared" si="0"/>
        <v>0</v>
      </c>
      <c r="H19">
        <f t="shared" si="4"/>
        <v>1</v>
      </c>
      <c r="I19">
        <f t="shared" si="1"/>
        <v>0</v>
      </c>
      <c r="J19">
        <f t="shared" si="2"/>
        <v>0</v>
      </c>
      <c r="K19">
        <f t="shared" si="3"/>
        <v>0</v>
      </c>
    </row>
    <row r="20" spans="1:11" ht="13.5" customHeight="1" x14ac:dyDescent="0.2"/>
    <row r="21" spans="1:11" ht="13.5" customHeight="1" x14ac:dyDescent="0.2"/>
    <row r="22" spans="1:11" ht="13.5" customHeight="1" x14ac:dyDescent="0.2">
      <c r="C22" s="41" t="s">
        <v>118</v>
      </c>
      <c r="D22" s="38"/>
      <c r="E22" s="38"/>
      <c r="F22" s="38"/>
    </row>
    <row r="23" spans="1:11" ht="13.5" customHeight="1" x14ac:dyDescent="0.2">
      <c r="C23" s="4" t="s">
        <v>119</v>
      </c>
    </row>
    <row r="24" spans="1:11" ht="13.5" customHeight="1" x14ac:dyDescent="0.2">
      <c r="C24" s="41" t="s">
        <v>123</v>
      </c>
      <c r="D24" s="38"/>
      <c r="E24" s="38"/>
      <c r="F24" s="38"/>
    </row>
    <row r="25" spans="1:11" ht="13.5" customHeight="1" x14ac:dyDescent="0.2">
      <c r="C25" s="41" t="s">
        <v>120</v>
      </c>
      <c r="D25" s="38"/>
      <c r="E25" s="38"/>
      <c r="F25" s="38"/>
    </row>
    <row r="26" spans="1:11" ht="13.5" customHeight="1" x14ac:dyDescent="0.2">
      <c r="C26" s="41" t="s">
        <v>121</v>
      </c>
      <c r="D26" s="38"/>
      <c r="E26" s="38"/>
      <c r="F26" s="38"/>
      <c r="G26" s="38"/>
      <c r="H26" s="38"/>
    </row>
    <row r="27" spans="1:11" ht="13.5" customHeight="1" x14ac:dyDescent="0.2">
      <c r="C27" s="41" t="s">
        <v>122</v>
      </c>
      <c r="D27" s="38"/>
      <c r="E27" s="38"/>
      <c r="F27" s="38"/>
      <c r="G27" s="38"/>
      <c r="H27" s="38"/>
    </row>
    <row r="28" spans="1:11" ht="13.5" customHeight="1" x14ac:dyDescent="0.2"/>
    <row r="29" spans="1:11" ht="13.5" customHeight="1" x14ac:dyDescent="0.2"/>
    <row r="30" spans="1:11" ht="13.5" customHeight="1" x14ac:dyDescent="0.2"/>
    <row r="31" spans="1:11" ht="13.5" customHeight="1" x14ac:dyDescent="0.2"/>
    <row r="32" spans="1:11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autoFilter ref="A2:L19"/>
  <mergeCells count="5">
    <mergeCell ref="C22:F22"/>
    <mergeCell ref="C24:F24"/>
    <mergeCell ref="C25:F25"/>
    <mergeCell ref="C26:H26"/>
    <mergeCell ref="C27:H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Logical Test</vt:lpstr>
      <vt:lpstr>IF</vt:lpstr>
      <vt:lpstr>Purchase Ledger</vt:lpstr>
      <vt:lpstr>Nested if</vt:lpstr>
      <vt:lpstr>AND-OR</vt:lpstr>
      <vt:lpstr>Hours</vt:lpstr>
      <vt:lpstr>ot</vt:lpstr>
      <vt:lpstr>Overtime</vt:lpstr>
      <vt:lpstr>Rate</vt:lpstr>
      <vt:lpstr>Rates</vt:lpstr>
      <vt:lpstr>Standard</vt:lpstr>
      <vt:lpstr>std</vt:lpstr>
      <vt:lpstr>wk</vt:lpstr>
      <vt:lpstr>wot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HP</cp:lastModifiedBy>
  <dcterms:created xsi:type="dcterms:W3CDTF">2015-06-05T18:17:20Z</dcterms:created>
  <dcterms:modified xsi:type="dcterms:W3CDTF">2026-06-04T07:10:55Z</dcterms:modified>
</cp:coreProperties>
</file>