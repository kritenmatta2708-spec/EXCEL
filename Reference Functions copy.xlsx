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bookViews>
    <workbookView xWindow="0" yWindow="0" windowWidth="15345" windowHeight="4635" activeTab="5"/>
  </bookViews>
  <sheets>
    <sheet name="Vlookup" sheetId="1" r:id="rId1"/>
    <sheet name="Vlookup-1" sheetId="2" r:id="rId2"/>
    <sheet name="Hlookup" sheetId="3" r:id="rId3"/>
    <sheet name="XLookup " sheetId="4" r:id="rId4"/>
    <sheet name="Match &amp; Index" sheetId="5" r:id="rId5"/>
    <sheet name="Match &amp; Index -1" sheetId="6" r:id="rId6"/>
  </sheets>
  <definedNames>
    <definedName name="BasePrices">Vlookup!$C$7:$D$17</definedName>
    <definedName name="Data">'XLookup '!$A$1:$D$51</definedName>
    <definedName name="Destination">Vlookup!$K$6</definedName>
    <definedName name="Multipliers">Vlookup!$F$7:$G$11</definedName>
    <definedName name="Type">Vlookup!$K$7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3" i="6" l="1"/>
  <c r="O16" i="6"/>
  <c r="O14" i="6"/>
  <c r="O12" i="6"/>
  <c r="O11" i="6"/>
  <c r="O9" i="6"/>
  <c r="O8" i="6"/>
  <c r="Q5" i="5"/>
  <c r="P5" i="5"/>
  <c r="F5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4" i="3"/>
  <c r="H41" i="2"/>
  <c r="H11" i="2"/>
  <c r="H6" i="2"/>
  <c r="K10" i="1"/>
  <c r="K9" i="1"/>
  <c r="K8" i="1"/>
</calcChain>
</file>

<file path=xl/sharedStrings.xml><?xml version="1.0" encoding="utf-8"?>
<sst xmlns="http://schemas.openxmlformats.org/spreadsheetml/2006/main" count="397" uniqueCount="291">
  <si>
    <t>LOOKUP TABLES</t>
  </si>
  <si>
    <t>Base Prices</t>
  </si>
  <si>
    <t>Multipliers</t>
  </si>
  <si>
    <t>Enquiry System</t>
  </si>
  <si>
    <t>Destination</t>
  </si>
  <si>
    <t>Base Price</t>
  </si>
  <si>
    <t>Type</t>
  </si>
  <si>
    <t>% Multiplier</t>
  </si>
  <si>
    <t>Kenya</t>
  </si>
  <si>
    <t>Barbados</t>
  </si>
  <si>
    <t>Budget</t>
  </si>
  <si>
    <t>Holiday Type</t>
  </si>
  <si>
    <t>Florida</t>
  </si>
  <si>
    <t>Standard</t>
  </si>
  <si>
    <t>Luxury</t>
  </si>
  <si>
    <t>Multiplier</t>
  </si>
  <si>
    <t>Paris</t>
  </si>
  <si>
    <t>Opulent</t>
  </si>
  <si>
    <t>Total</t>
  </si>
  <si>
    <t>London</t>
  </si>
  <si>
    <t>Hedonistic</t>
  </si>
  <si>
    <t>Tokyo</t>
  </si>
  <si>
    <t>Sydney</t>
  </si>
  <si>
    <t>Amsterdam</t>
  </si>
  <si>
    <t>Geneva</t>
  </si>
  <si>
    <t>Thailand</t>
  </si>
  <si>
    <t>Reykjavik</t>
  </si>
  <si>
    <t>INSTRUCTIONS: BY WRITING A RANDOM ID, GET THE CITY OF EACH HERO</t>
  </si>
  <si>
    <t>ID</t>
  </si>
  <si>
    <t>NAME</t>
  </si>
  <si>
    <t>INDUSTRY</t>
  </si>
  <si>
    <t>CITY</t>
  </si>
  <si>
    <t>Captain America</t>
  </si>
  <si>
    <t>Consumer Services</t>
  </si>
  <si>
    <t>Toledo</t>
  </si>
  <si>
    <t>Robin</t>
  </si>
  <si>
    <t>Gas Utilities</t>
  </si>
  <si>
    <t>Albuquerque</t>
  </si>
  <si>
    <t>Captain Marvel</t>
  </si>
  <si>
    <t>Information Technology</t>
  </si>
  <si>
    <t>Denver</t>
  </si>
  <si>
    <t>Picollo</t>
  </si>
  <si>
    <t>Specialty Chemicals</t>
  </si>
  <si>
    <t>Saint Paul</t>
  </si>
  <si>
    <t>Batman</t>
  </si>
  <si>
    <t>Health Insurance</t>
  </si>
  <si>
    <t>Chula Vista</t>
  </si>
  <si>
    <t>The Rocketeer</t>
  </si>
  <si>
    <t>Insurance Brokers</t>
  </si>
  <si>
    <t>St Louis</t>
  </si>
  <si>
    <t>Superman</t>
  </si>
  <si>
    <t>Electrical Equipment</t>
  </si>
  <si>
    <t>Plano</t>
  </si>
  <si>
    <t>Batwoman</t>
  </si>
  <si>
    <t>Auto Parts Stores</t>
  </si>
  <si>
    <t>Omaha</t>
  </si>
  <si>
    <t>Hawkeye</t>
  </si>
  <si>
    <t>Asset Management</t>
  </si>
  <si>
    <t>Dallas</t>
  </si>
  <si>
    <t>The Incredibles</t>
  </si>
  <si>
    <t>Chemicals - Major Diversified</t>
  </si>
  <si>
    <t>Lubbock</t>
  </si>
  <si>
    <t>Goku</t>
  </si>
  <si>
    <t>Riverside</t>
  </si>
  <si>
    <t>Rocky Balboa</t>
  </si>
  <si>
    <t>Rental &amp; Leasing Services</t>
  </si>
  <si>
    <t>Chesapeake</t>
  </si>
  <si>
    <t>Obi Wan Kenobi</t>
  </si>
  <si>
    <t>Application Software</t>
  </si>
  <si>
    <t>Raleigh</t>
  </si>
  <si>
    <t>Jack Sparrow</t>
  </si>
  <si>
    <t>Property &amp; Casualty Insurance</t>
  </si>
  <si>
    <t>Atlanta</t>
  </si>
  <si>
    <t>Supergirl</t>
  </si>
  <si>
    <t>Semiconductor - Broad Line</t>
  </si>
  <si>
    <t>Seattle</t>
  </si>
  <si>
    <t>Han Solo</t>
  </si>
  <si>
    <t>Specialized Health Services</t>
  </si>
  <si>
    <t>Greensboro</t>
  </si>
  <si>
    <t>Guardians of the Galaxy</t>
  </si>
  <si>
    <t>El Paso</t>
  </si>
  <si>
    <t>Neo</t>
  </si>
  <si>
    <t>Surety &amp; Title Insurance</t>
  </si>
  <si>
    <t>Cleveland</t>
  </si>
  <si>
    <t>Thor</t>
  </si>
  <si>
    <t>San Francisco</t>
  </si>
  <si>
    <t>James Bond</t>
  </si>
  <si>
    <t>Diversified Utilities</t>
  </si>
  <si>
    <t>Lexington</t>
  </si>
  <si>
    <t>The Defenders</t>
  </si>
  <si>
    <t>REIT - Industrial</t>
  </si>
  <si>
    <t>Austin</t>
  </si>
  <si>
    <t>Gandalf</t>
  </si>
  <si>
    <t>Biotechnology</t>
  </si>
  <si>
    <t>Colorado Springs</t>
  </si>
  <si>
    <t>Spider-Man</t>
  </si>
  <si>
    <t>REIT - Residential</t>
  </si>
  <si>
    <t>Glendale</t>
  </si>
  <si>
    <t>Sasuke Uchiha</t>
  </si>
  <si>
    <t>Farm Products</t>
  </si>
  <si>
    <t>Santa Ana</t>
  </si>
  <si>
    <t>Marvelman</t>
  </si>
  <si>
    <t>Communication Equipment</t>
  </si>
  <si>
    <t>Virginia Beach</t>
  </si>
  <si>
    <t>Green Arrow</t>
  </si>
  <si>
    <t>Industrial Equipment Wholesale</t>
  </si>
  <si>
    <t>Detroit</t>
  </si>
  <si>
    <t>Hermione Granger</t>
  </si>
  <si>
    <t>Diversified Communication Services</t>
  </si>
  <si>
    <t>San Jose</t>
  </si>
  <si>
    <t>Flash</t>
  </si>
  <si>
    <t>Garland</t>
  </si>
  <si>
    <t>Teenage Mutant Ninja Turtles</t>
  </si>
  <si>
    <t>Drugs - Generic</t>
  </si>
  <si>
    <t>Stockton</t>
  </si>
  <si>
    <t>Marks</t>
  </si>
  <si>
    <t>Category</t>
  </si>
  <si>
    <t>Grades</t>
  </si>
  <si>
    <t>Fair</t>
  </si>
  <si>
    <t>E</t>
  </si>
  <si>
    <t>Ok</t>
  </si>
  <si>
    <t>D</t>
  </si>
  <si>
    <t>Good</t>
  </si>
  <si>
    <t>C</t>
  </si>
  <si>
    <t>Very Good</t>
  </si>
  <si>
    <t>B</t>
  </si>
  <si>
    <t>Excellent</t>
  </si>
  <si>
    <t>A</t>
  </si>
  <si>
    <t>Approximate Match</t>
  </si>
  <si>
    <t>ABRSM Examinations</t>
  </si>
  <si>
    <t>Student Name</t>
  </si>
  <si>
    <t>Instrument</t>
  </si>
  <si>
    <t>Grade</t>
  </si>
  <si>
    <t>Centre</t>
  </si>
  <si>
    <t>Date</t>
  </si>
  <si>
    <t>Time</t>
  </si>
  <si>
    <t>Lilly R Bennett</t>
  </si>
  <si>
    <t>French Horn</t>
  </si>
  <si>
    <t>York</t>
  </si>
  <si>
    <t>Exam Centre</t>
  </si>
  <si>
    <t>Bristol</t>
  </si>
  <si>
    <t>Edinburgh</t>
  </si>
  <si>
    <t>Manchester</t>
  </si>
  <si>
    <t>Oxford</t>
  </si>
  <si>
    <t>Richard F Pierce-Hall</t>
  </si>
  <si>
    <t>Piano</t>
  </si>
  <si>
    <t>Simon T Brent</t>
  </si>
  <si>
    <t>Violin</t>
  </si>
  <si>
    <t>Helen P Brown</t>
  </si>
  <si>
    <t>Clarinet</t>
  </si>
  <si>
    <t>David S Brown</t>
  </si>
  <si>
    <t>Flute</t>
  </si>
  <si>
    <t>James T Smythe</t>
  </si>
  <si>
    <t>Georgia L Gough</t>
  </si>
  <si>
    <t>Saxophone</t>
  </si>
  <si>
    <t>Lilly G Bennett</t>
  </si>
  <si>
    <t>Richard Y Taylor</t>
  </si>
  <si>
    <t>Simon D Smith</t>
  </si>
  <si>
    <t>Helen W Bennett</t>
  </si>
  <si>
    <t>Emily T Williams</t>
  </si>
  <si>
    <t>Cello</t>
  </si>
  <si>
    <t>Petunia LL Harper-Whitely</t>
  </si>
  <si>
    <t>Harp</t>
  </si>
  <si>
    <t>Gregory H Jones</t>
  </si>
  <si>
    <t>Trumpet</t>
  </si>
  <si>
    <t>William F Taylor</t>
  </si>
  <si>
    <t>Drums</t>
  </si>
  <si>
    <t>Aaron P King</t>
  </si>
  <si>
    <t>Tuba</t>
  </si>
  <si>
    <t>David T Lovatt</t>
  </si>
  <si>
    <t>Phillip J Winters</t>
  </si>
  <si>
    <t>Fenella B Winters</t>
  </si>
  <si>
    <t>Timothy K Caruthers</t>
  </si>
  <si>
    <t>Match</t>
  </si>
  <si>
    <t>Returns Position number of a given value</t>
  </si>
  <si>
    <t>Index</t>
  </si>
  <si>
    <t>Return value of a given position range</t>
  </si>
  <si>
    <t>Fruits</t>
  </si>
  <si>
    <t>Fruit</t>
  </si>
  <si>
    <t>Position</t>
  </si>
  <si>
    <t>Order ID</t>
  </si>
  <si>
    <t>Price</t>
  </si>
  <si>
    <t>Quantity</t>
  </si>
  <si>
    <t>Apple</t>
  </si>
  <si>
    <t>Mango</t>
  </si>
  <si>
    <t>Banana</t>
  </si>
  <si>
    <t>Grapes</t>
  </si>
  <si>
    <t>Cherry</t>
  </si>
  <si>
    <t>Litchi</t>
  </si>
  <si>
    <t>Orange</t>
  </si>
  <si>
    <t>Papaya</t>
  </si>
  <si>
    <t>London Heathrow Early Business Shuttle TimeTable</t>
  </si>
  <si>
    <t>Departure Airport</t>
  </si>
  <si>
    <t>Mon</t>
  </si>
  <si>
    <t>Tue</t>
  </si>
  <si>
    <t>Wed</t>
  </si>
  <si>
    <t>Thu</t>
  </si>
  <si>
    <t>Fri</t>
  </si>
  <si>
    <t>Sat</t>
  </si>
  <si>
    <t>Sun</t>
  </si>
  <si>
    <t>Airport:</t>
  </si>
  <si>
    <t>Leeds</t>
  </si>
  <si>
    <t>Dover</t>
  </si>
  <si>
    <t>Aberdeen</t>
  </si>
  <si>
    <t>Day:</t>
  </si>
  <si>
    <t>Birmingham</t>
  </si>
  <si>
    <t>Blackpool</t>
  </si>
  <si>
    <t>Airport Pos Num:</t>
  </si>
  <si>
    <t>Day Pos Num:</t>
  </si>
  <si>
    <t>Caernarfon</t>
  </si>
  <si>
    <t>Cardiff</t>
  </si>
  <si>
    <t>Flight Time:</t>
  </si>
  <si>
    <t>Carlisle</t>
  </si>
  <si>
    <t xml:space="preserve">Nested Formula </t>
  </si>
  <si>
    <t>for flight time:</t>
  </si>
  <si>
    <t>Exeter</t>
  </si>
  <si>
    <t>Liverpool</t>
  </si>
  <si>
    <t>Newcastle</t>
  </si>
  <si>
    <t>Newquay</t>
  </si>
  <si>
    <t>Norwich</t>
  </si>
  <si>
    <t>Employee ID</t>
  </si>
  <si>
    <t>Employee Name</t>
  </si>
  <si>
    <t>Department</t>
  </si>
  <si>
    <t>Salary</t>
  </si>
  <si>
    <t>Amit</t>
  </si>
  <si>
    <t>Sales</t>
  </si>
  <si>
    <t>Priya</t>
  </si>
  <si>
    <t>HR</t>
  </si>
  <si>
    <t>Rahul</t>
  </si>
  <si>
    <t>IT</t>
  </si>
  <si>
    <t>Sneha</t>
  </si>
  <si>
    <t>Finance</t>
  </si>
  <si>
    <t>Karan</t>
  </si>
  <si>
    <t>Neha</t>
  </si>
  <si>
    <t>Arjun</t>
  </si>
  <si>
    <t>Pooja</t>
  </si>
  <si>
    <t>Vivek</t>
  </si>
  <si>
    <t>Anjali</t>
  </si>
  <si>
    <t>Rohit</t>
  </si>
  <si>
    <t>Meera</t>
  </si>
  <si>
    <t>Suresh</t>
  </si>
  <si>
    <t>Kavya</t>
  </si>
  <si>
    <t>Nitin</t>
  </si>
  <si>
    <t>Riya</t>
  </si>
  <si>
    <t>Deepak</t>
  </si>
  <si>
    <t>Asha</t>
  </si>
  <si>
    <t>Mohit</t>
  </si>
  <si>
    <t>Simran</t>
  </si>
  <si>
    <t>Raj</t>
  </si>
  <si>
    <t>Isha</t>
  </si>
  <si>
    <t>Manish</t>
  </si>
  <si>
    <t>Nisha</t>
  </si>
  <si>
    <t>Akash</t>
  </si>
  <si>
    <t>Komal</t>
  </si>
  <si>
    <t>Varun</t>
  </si>
  <si>
    <t>Shweta</t>
  </si>
  <si>
    <t>Gaurav</t>
  </si>
  <si>
    <t>Tina</t>
  </si>
  <si>
    <t>Harsh</t>
  </si>
  <si>
    <t>Sonal</t>
  </si>
  <si>
    <t>Yash</t>
  </si>
  <si>
    <t>Preeti</t>
  </si>
  <si>
    <t>Ajay</t>
  </si>
  <si>
    <t>Divya</t>
  </si>
  <si>
    <t>Rakesh</t>
  </si>
  <si>
    <t>Bhavna</t>
  </si>
  <si>
    <t>Tarun</t>
  </si>
  <si>
    <t>Payal</t>
  </si>
  <si>
    <t>Sameer</t>
  </si>
  <si>
    <t>Monika</t>
  </si>
  <si>
    <t>Chirag</t>
  </si>
  <si>
    <t>Aarti</t>
  </si>
  <si>
    <t>Kunal</t>
  </si>
  <si>
    <t>Rekha</t>
  </si>
  <si>
    <t>Sanjay</t>
  </si>
  <si>
    <t>Juhi</t>
  </si>
  <si>
    <t>Prakash</t>
  </si>
  <si>
    <t>Alka</t>
  </si>
  <si>
    <t>1.)Find the Employee Name for Employee ID 1024.</t>
  </si>
  <si>
    <r>
      <t xml:space="preserve">2.)  Find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of Employee ID </t>
    </r>
    <r>
      <rPr>
        <b/>
        <sz val="11"/>
        <color theme="1"/>
        <rFont val="Calibri"/>
        <family val="2"/>
        <scheme val="minor"/>
      </rPr>
      <t>1038</t>
    </r>
    <r>
      <rPr>
        <sz val="11"/>
        <color theme="1"/>
        <rFont val="Calibri"/>
        <family val="2"/>
        <scheme val="minor"/>
      </rPr>
      <t>.</t>
    </r>
  </si>
  <si>
    <t>3.) Return the department of the Employee specified:</t>
  </si>
  <si>
    <t>4.) Return the name ,Department &amp; Salary of the employee specified:</t>
  </si>
  <si>
    <t>Employee ID:</t>
  </si>
  <si>
    <t>Name</t>
  </si>
  <si>
    <t>salary</t>
  </si>
  <si>
    <t xml:space="preserve">Name </t>
  </si>
  <si>
    <t>Industry</t>
  </si>
  <si>
    <t xml:space="preserve">Marks </t>
  </si>
  <si>
    <t>13/6/2026</t>
  </si>
  <si>
    <t>Airport</t>
  </si>
  <si>
    <t>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</si>
</sst>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&quot;₹&quot;\ * #,##0.00_ ;_ &quot;₹&quot;\ * \-#,##0.00_ ;_ &quot;₹&quot;\ * &quot;-&quot;??_ ;_ @_ "/>
    <numFmt numFmtId="165" formatCode="_-&quot;£&quot;* #,##0.00_-;\-&quot;£&quot;* #,##0.00_-;_-&quot;£&quot;* &quot;-&quot;??_-;_-@_-"/>
    <numFmt numFmtId="169" formatCode="[$-F400]h:mm:ss\ AM/PM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30303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4"/>
      <color rgb="FFFF0000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theme="7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4" fillId="4" borderId="6" xfId="0" applyFont="1" applyFill="1" applyBorder="1"/>
    <xf numFmtId="0" fontId="0" fillId="4" borderId="7" xfId="0" applyFill="1" applyBorder="1"/>
    <xf numFmtId="0" fontId="4" fillId="4" borderId="1" xfId="0" applyFont="1" applyFill="1" applyBorder="1"/>
    <xf numFmtId="0" fontId="0" fillId="4" borderId="3" xfId="0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8" xfId="0" applyFill="1" applyBorder="1" applyAlignment="1">
      <alignment horizontal="center"/>
    </xf>
    <xf numFmtId="0" fontId="0" fillId="5" borderId="9" xfId="0" applyFill="1" applyBorder="1"/>
    <xf numFmtId="0" fontId="0" fillId="6" borderId="8" xfId="0" applyFill="1" applyBorder="1" applyAlignment="1">
      <alignment horizontal="center"/>
    </xf>
    <xf numFmtId="0" fontId="0" fillId="6" borderId="4" xfId="0" applyFill="1" applyBorder="1"/>
    <xf numFmtId="165" fontId="0" fillId="0" borderId="9" xfId="0" applyNumberFormat="1" applyBorder="1"/>
    <xf numFmtId="9" fontId="0" fillId="0" borderId="9" xfId="0" applyNumberFormat="1" applyBorder="1" applyAlignment="1">
      <alignment horizontal="center"/>
    </xf>
    <xf numFmtId="164" fontId="0" fillId="7" borderId="8" xfId="1" applyFont="1" applyFill="1" applyBorder="1" applyAlignment="1">
      <alignment horizontal="center"/>
    </xf>
    <xf numFmtId="9" fontId="0" fillId="7" borderId="8" xfId="2" applyFont="1" applyFill="1" applyBorder="1" applyAlignment="1">
      <alignment horizontal="right"/>
    </xf>
    <xf numFmtId="0" fontId="0" fillId="5" borderId="10" xfId="0" applyFill="1" applyBorder="1"/>
    <xf numFmtId="164" fontId="0" fillId="8" borderId="8" xfId="1" applyFont="1" applyFill="1" applyBorder="1"/>
    <xf numFmtId="0" fontId="0" fillId="6" borderId="11" xfId="0" applyFill="1" applyBorder="1"/>
    <xf numFmtId="9" fontId="0" fillId="0" borderId="10" xfId="0" applyNumberFormat="1" applyBorder="1" applyAlignment="1">
      <alignment horizontal="center"/>
    </xf>
    <xf numFmtId="165" fontId="0" fillId="0" borderId="10" xfId="0" applyNumberFormat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6" fillId="9" borderId="17" xfId="0" applyFont="1" applyFill="1" applyBorder="1" applyAlignment="1">
      <alignment wrapText="1"/>
    </xf>
    <xf numFmtId="0" fontId="6" fillId="0" borderId="17" xfId="0" applyFont="1" applyBorder="1" applyAlignment="1">
      <alignment wrapText="1"/>
    </xf>
    <xf numFmtId="0" fontId="6" fillId="0" borderId="18" xfId="0" applyFont="1" applyBorder="1" applyAlignment="1">
      <alignment wrapText="1"/>
    </xf>
    <xf numFmtId="0" fontId="6" fillId="0" borderId="19" xfId="0" applyFont="1" applyBorder="1" applyAlignment="1">
      <alignment wrapText="1"/>
    </xf>
    <xf numFmtId="0" fontId="7" fillId="10" borderId="8" xfId="0" applyFont="1" applyFill="1" applyBorder="1" applyAlignment="1">
      <alignment horizontal="center" wrapText="1"/>
    </xf>
    <xf numFmtId="0" fontId="6" fillId="0" borderId="16" xfId="0" applyFont="1" applyBorder="1" applyAlignment="1">
      <alignment wrapText="1"/>
    </xf>
    <xf numFmtId="0" fontId="8" fillId="0" borderId="20" xfId="0" applyFont="1" applyBorder="1" applyAlignment="1">
      <alignment horizontal="center" wrapText="1"/>
    </xf>
    <xf numFmtId="0" fontId="8" fillId="0" borderId="21" xfId="0" applyFont="1" applyBorder="1" applyAlignment="1">
      <alignment wrapText="1"/>
    </xf>
    <xf numFmtId="0" fontId="9" fillId="0" borderId="21" xfId="0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8" fillId="0" borderId="23" xfId="0" applyFont="1" applyBorder="1" applyAlignment="1">
      <alignment horizontal="center" wrapText="1"/>
    </xf>
    <xf numFmtId="0" fontId="8" fillId="0" borderId="17" xfId="0" applyFont="1" applyBorder="1" applyAlignment="1">
      <alignment wrapText="1"/>
    </xf>
    <xf numFmtId="0" fontId="9" fillId="0" borderId="17" xfId="0" applyFont="1" applyBorder="1" applyAlignment="1">
      <alignment wrapText="1"/>
    </xf>
    <xf numFmtId="0" fontId="8" fillId="0" borderId="24" xfId="0" applyFont="1" applyBorder="1" applyAlignment="1">
      <alignment wrapText="1"/>
    </xf>
    <xf numFmtId="0" fontId="8" fillId="0" borderId="25" xfId="0" applyFont="1" applyBorder="1" applyAlignment="1">
      <alignment horizontal="center" wrapText="1"/>
    </xf>
    <xf numFmtId="0" fontId="8" fillId="0" borderId="18" xfId="0" applyFont="1" applyBorder="1" applyAlignment="1">
      <alignment wrapText="1"/>
    </xf>
    <xf numFmtId="0" fontId="9" fillId="0" borderId="18" xfId="0" applyFont="1" applyBorder="1" applyAlignment="1">
      <alignment wrapText="1"/>
    </xf>
    <xf numFmtId="0" fontId="8" fillId="0" borderId="26" xfId="0" applyFont="1" applyBorder="1" applyAlignment="1">
      <alignment wrapText="1"/>
    </xf>
    <xf numFmtId="0" fontId="0" fillId="0" borderId="8" xfId="0" applyBorder="1"/>
    <xf numFmtId="0" fontId="0" fillId="0" borderId="0" xfId="0" applyAlignment="1">
      <alignment horizontal="center"/>
    </xf>
    <xf numFmtId="0" fontId="10" fillId="13" borderId="0" xfId="0" applyFont="1" applyFill="1" applyAlignment="1">
      <alignment horizontal="center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13" fillId="12" borderId="8" xfId="0" applyFont="1" applyFill="1" applyBorder="1"/>
    <xf numFmtId="0" fontId="13" fillId="12" borderId="8" xfId="0" applyFont="1" applyFill="1" applyBorder="1" applyAlignment="1">
      <alignment horizontal="center"/>
    </xf>
    <xf numFmtId="0" fontId="12" fillId="0" borderId="8" xfId="0" applyFont="1" applyBorder="1"/>
    <xf numFmtId="0" fontId="12" fillId="0" borderId="8" xfId="0" applyFont="1" applyBorder="1" applyAlignment="1">
      <alignment horizontal="center"/>
    </xf>
    <xf numFmtId="20" fontId="12" fillId="0" borderId="8" xfId="0" applyNumberFormat="1" applyFont="1" applyBorder="1" applyAlignment="1">
      <alignment horizontal="center"/>
    </xf>
    <xf numFmtId="0" fontId="12" fillId="14" borderId="8" xfId="0" applyFont="1" applyFill="1" applyBorder="1" applyAlignment="1">
      <alignment horizontal="center"/>
    </xf>
    <xf numFmtId="14" fontId="12" fillId="14" borderId="8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4" fillId="16" borderId="8" xfId="0" applyFont="1" applyFill="1" applyBorder="1" applyAlignment="1">
      <alignment horizontal="center"/>
    </xf>
    <xf numFmtId="0" fontId="15" fillId="0" borderId="0" xfId="0" applyFont="1"/>
    <xf numFmtId="0" fontId="3" fillId="15" borderId="8" xfId="0" applyFont="1" applyFill="1" applyBorder="1"/>
    <xf numFmtId="0" fontId="3" fillId="15" borderId="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14" borderId="8" xfId="0" applyFont="1" applyFill="1" applyBorder="1"/>
    <xf numFmtId="0" fontId="3" fillId="7" borderId="8" xfId="0" applyFont="1" applyFill="1" applyBorder="1"/>
    <xf numFmtId="20" fontId="0" fillId="0" borderId="8" xfId="0" applyNumberFormat="1" applyBorder="1" applyAlignment="1">
      <alignment horizontal="center"/>
    </xf>
    <xf numFmtId="0" fontId="0" fillId="11" borderId="8" xfId="0" applyFill="1" applyBorder="1"/>
    <xf numFmtId="20" fontId="0" fillId="0" borderId="0" xfId="0" applyNumberFormat="1" applyAlignment="1">
      <alignment horizontal="center"/>
    </xf>
    <xf numFmtId="20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9" borderId="8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5" fillId="9" borderId="14" xfId="0" applyFont="1" applyFill="1" applyBorder="1" applyAlignment="1">
      <alignment vertical="center"/>
    </xf>
    <xf numFmtId="0" fontId="5" fillId="9" borderId="15" xfId="0" applyFont="1" applyFill="1" applyBorder="1" applyAlignment="1">
      <alignment vertical="center"/>
    </xf>
    <xf numFmtId="0" fontId="5" fillId="9" borderId="16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" fillId="17" borderId="27" xfId="0" applyFont="1" applyFill="1" applyBorder="1"/>
    <xf numFmtId="0" fontId="2" fillId="17" borderId="28" xfId="0" applyFont="1" applyFill="1" applyBorder="1"/>
    <xf numFmtId="0" fontId="0" fillId="0" borderId="8" xfId="0" applyFont="1" applyBorder="1"/>
    <xf numFmtId="14" fontId="0" fillId="0" borderId="8" xfId="0" applyNumberFormat="1" applyBorder="1"/>
    <xf numFmtId="169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6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C40:E45" totalsRowShown="0">
  <autoFilter ref="C40:E45"/>
  <tableColumns count="3">
    <tableColumn id="1" name="Marks" dataDxfId="5"/>
    <tableColumn id="2" name="Category" dataDxfId="4"/>
    <tableColumn id="3" name="Grades" dataDxfId="3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8"/>
  <sheetViews>
    <sheetView topLeftCell="C1" workbookViewId="0">
      <selection activeCell="K10" sqref="K10"/>
    </sheetView>
  </sheetViews>
  <sheetFormatPr defaultRowHeight="15" x14ac:dyDescent="0.25"/>
  <cols>
    <col min="3" max="3" width="10.28515625" bestFit="1" customWidth="1"/>
    <col min="6" max="6" width="9.5703125" bestFit="1" customWidth="1"/>
    <col min="7" max="7" width="10.7109375" bestFit="1" customWidth="1"/>
    <col min="10" max="10" width="13.28515625" bestFit="1" customWidth="1"/>
    <col min="11" max="11" width="13.140625" customWidth="1"/>
  </cols>
  <sheetData>
    <row r="2" spans="2:11" x14ac:dyDescent="0.25">
      <c r="B2" s="1"/>
      <c r="C2" s="2"/>
      <c r="D2" s="2"/>
      <c r="E2" s="2"/>
      <c r="F2" s="2"/>
      <c r="G2" s="2"/>
      <c r="H2" s="3"/>
    </row>
    <row r="3" spans="2:11" x14ac:dyDescent="0.25">
      <c r="B3" s="4"/>
      <c r="C3" s="75" t="s">
        <v>0</v>
      </c>
      <c r="D3" s="75"/>
      <c r="E3" s="75"/>
      <c r="F3" s="75"/>
      <c r="G3" s="75"/>
      <c r="H3" s="5"/>
    </row>
    <row r="4" spans="2:11" x14ac:dyDescent="0.25">
      <c r="B4" s="4"/>
      <c r="C4" s="6"/>
      <c r="D4" s="6"/>
      <c r="E4" s="6"/>
      <c r="F4" s="6"/>
      <c r="G4" s="6"/>
      <c r="H4" s="5"/>
    </row>
    <row r="5" spans="2:11" x14ac:dyDescent="0.25">
      <c r="B5" s="4"/>
      <c r="C5" s="7" t="s">
        <v>1</v>
      </c>
      <c r="D5" s="8"/>
      <c r="E5" s="6"/>
      <c r="F5" s="9" t="s">
        <v>2</v>
      </c>
      <c r="G5" s="10"/>
      <c r="H5" s="5"/>
      <c r="J5" s="7" t="s">
        <v>3</v>
      </c>
      <c r="K5" s="8"/>
    </row>
    <row r="6" spans="2:11" x14ac:dyDescent="0.25">
      <c r="B6" s="4"/>
      <c r="C6" s="11" t="s">
        <v>4</v>
      </c>
      <c r="D6" s="12" t="s">
        <v>5</v>
      </c>
      <c r="E6" s="6"/>
      <c r="F6" s="11" t="s">
        <v>6</v>
      </c>
      <c r="G6" s="13" t="s">
        <v>7</v>
      </c>
      <c r="H6" s="5"/>
      <c r="J6" s="14" t="s">
        <v>4</v>
      </c>
      <c r="K6" s="15" t="s">
        <v>8</v>
      </c>
    </row>
    <row r="7" spans="2:11" x14ac:dyDescent="0.25">
      <c r="B7" s="4"/>
      <c r="C7" s="16" t="s">
        <v>9</v>
      </c>
      <c r="D7" s="17">
        <v>532</v>
      </c>
      <c r="E7" s="6"/>
      <c r="F7" s="16" t="s">
        <v>10</v>
      </c>
      <c r="G7" s="18">
        <v>1</v>
      </c>
      <c r="H7" s="5"/>
      <c r="J7" s="14" t="s">
        <v>11</v>
      </c>
      <c r="K7" s="15" t="s">
        <v>10</v>
      </c>
    </row>
    <row r="8" spans="2:11" x14ac:dyDescent="0.25">
      <c r="B8" s="4"/>
      <c r="C8" s="16" t="s">
        <v>12</v>
      </c>
      <c r="D8" s="17">
        <v>480</v>
      </c>
      <c r="E8" s="6"/>
      <c r="F8" s="16" t="s">
        <v>13</v>
      </c>
      <c r="G8" s="18">
        <v>1.2</v>
      </c>
      <c r="H8" s="5"/>
      <c r="J8" s="14" t="s">
        <v>5</v>
      </c>
      <c r="K8" s="19">
        <f>VLOOKUP(Destination,BasePrices,2)</f>
        <v>411</v>
      </c>
    </row>
    <row r="9" spans="2:11" x14ac:dyDescent="0.25">
      <c r="B9" s="4"/>
      <c r="C9" s="16" t="s">
        <v>8</v>
      </c>
      <c r="D9" s="17">
        <v>411</v>
      </c>
      <c r="E9" s="6"/>
      <c r="F9" s="16" t="s">
        <v>14</v>
      </c>
      <c r="G9" s="18">
        <v>1.5</v>
      </c>
      <c r="H9" s="5"/>
      <c r="J9" s="14" t="s">
        <v>15</v>
      </c>
      <c r="K9" s="20">
        <f>VLOOKUP(Type,Multipliers,2)</f>
        <v>1</v>
      </c>
    </row>
    <row r="10" spans="2:11" x14ac:dyDescent="0.25">
      <c r="B10" s="4"/>
      <c r="C10" s="16" t="s">
        <v>16</v>
      </c>
      <c r="D10" s="17">
        <v>550</v>
      </c>
      <c r="E10" s="6"/>
      <c r="F10" s="16" t="s">
        <v>17</v>
      </c>
      <c r="G10" s="18">
        <v>2</v>
      </c>
      <c r="H10" s="5"/>
      <c r="J10" s="21" t="s">
        <v>18</v>
      </c>
      <c r="K10" s="22">
        <f>K8*K9</f>
        <v>411</v>
      </c>
    </row>
    <row r="11" spans="2:11" x14ac:dyDescent="0.25">
      <c r="B11" s="4"/>
      <c r="C11" s="16" t="s">
        <v>19</v>
      </c>
      <c r="D11" s="17">
        <v>574</v>
      </c>
      <c r="E11" s="6"/>
      <c r="F11" s="23" t="s">
        <v>20</v>
      </c>
      <c r="G11" s="24">
        <v>3</v>
      </c>
      <c r="H11" s="5"/>
    </row>
    <row r="12" spans="2:11" x14ac:dyDescent="0.25">
      <c r="B12" s="4"/>
      <c r="C12" s="16" t="s">
        <v>21</v>
      </c>
      <c r="D12" s="17">
        <v>541</v>
      </c>
      <c r="E12" s="6"/>
      <c r="F12" s="6"/>
      <c r="G12" s="6"/>
      <c r="H12" s="5"/>
    </row>
    <row r="13" spans="2:11" x14ac:dyDescent="0.25">
      <c r="B13" s="4"/>
      <c r="C13" s="16" t="s">
        <v>22</v>
      </c>
      <c r="D13" s="17">
        <v>548</v>
      </c>
      <c r="E13" s="6"/>
      <c r="F13" s="6"/>
      <c r="G13" s="6"/>
      <c r="H13" s="5"/>
    </row>
    <row r="14" spans="2:11" x14ac:dyDescent="0.25">
      <c r="B14" s="4"/>
      <c r="C14" s="16" t="s">
        <v>23</v>
      </c>
      <c r="D14" s="17">
        <v>210</v>
      </c>
      <c r="E14" s="6"/>
      <c r="F14" s="6"/>
      <c r="G14" s="6"/>
      <c r="H14" s="5"/>
    </row>
    <row r="15" spans="2:11" x14ac:dyDescent="0.25">
      <c r="B15" s="4"/>
      <c r="C15" s="16" t="s">
        <v>24</v>
      </c>
      <c r="D15" s="17">
        <v>235</v>
      </c>
      <c r="E15" s="6"/>
      <c r="F15" s="6"/>
      <c r="G15" s="6"/>
      <c r="H15" s="5"/>
    </row>
    <row r="16" spans="2:11" x14ac:dyDescent="0.25">
      <c r="B16" s="4"/>
      <c r="C16" s="16" t="s">
        <v>25</v>
      </c>
      <c r="D16" s="17">
        <v>670</v>
      </c>
      <c r="E16" s="6"/>
      <c r="F16" s="6"/>
      <c r="G16" s="6"/>
      <c r="H16" s="5"/>
    </row>
    <row r="17" spans="2:8" x14ac:dyDescent="0.25">
      <c r="B17" s="4"/>
      <c r="C17" s="23" t="s">
        <v>26</v>
      </c>
      <c r="D17" s="25">
        <v>323</v>
      </c>
      <c r="E17" s="6"/>
      <c r="F17" s="6"/>
      <c r="G17" s="6"/>
      <c r="H17" s="5"/>
    </row>
    <row r="18" spans="2:8" x14ac:dyDescent="0.25">
      <c r="B18" s="26"/>
      <c r="C18" s="27"/>
      <c r="D18" s="27"/>
      <c r="E18" s="27"/>
      <c r="F18" s="27"/>
      <c r="G18" s="27"/>
      <c r="H18" s="28"/>
    </row>
  </sheetData>
  <mergeCells count="1">
    <mergeCell ref="C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opLeftCell="A33" workbookViewId="0">
      <selection activeCell="G42" sqref="G42"/>
    </sheetView>
  </sheetViews>
  <sheetFormatPr defaultRowHeight="15" x14ac:dyDescent="0.25"/>
  <cols>
    <col min="1" max="1" width="15.7109375" customWidth="1"/>
    <col min="2" max="2" width="30.42578125" customWidth="1"/>
    <col min="3" max="3" width="15.7109375" customWidth="1"/>
    <col min="4" max="4" width="19.7109375" bestFit="1" customWidth="1"/>
    <col min="5" max="8" width="15.7109375" customWidth="1"/>
  </cols>
  <sheetData>
    <row r="1" spans="1:8" ht="19.899999999999999" customHeight="1" thickBot="1" x14ac:dyDescent="0.3">
      <c r="A1" s="76" t="s">
        <v>27</v>
      </c>
      <c r="B1" s="77"/>
      <c r="C1" s="77"/>
      <c r="D1" s="78"/>
      <c r="E1" s="29"/>
      <c r="F1" s="29"/>
      <c r="G1" s="29"/>
      <c r="H1" s="30"/>
    </row>
    <row r="2" spans="1:8" ht="19.899999999999999" customHeight="1" thickBot="1" x14ac:dyDescent="0.3">
      <c r="A2" s="31"/>
      <c r="B2" s="30"/>
      <c r="C2" s="30"/>
      <c r="D2" s="30"/>
      <c r="E2" s="30"/>
      <c r="F2" s="30"/>
      <c r="G2" s="30"/>
      <c r="H2" s="30"/>
    </row>
    <row r="3" spans="1:8" ht="19.899999999999999" customHeight="1" thickBot="1" x14ac:dyDescent="0.3">
      <c r="D3" s="30"/>
      <c r="E3" s="30"/>
      <c r="F3" s="30"/>
      <c r="G3" s="30"/>
      <c r="H3" s="30"/>
    </row>
    <row r="4" spans="1:8" ht="19.899999999999999" customHeight="1" thickBot="1" x14ac:dyDescent="0.3">
      <c r="A4" s="32"/>
      <c r="B4" s="32"/>
      <c r="C4" s="32"/>
      <c r="D4" s="32"/>
      <c r="E4" s="30"/>
      <c r="F4" s="30"/>
      <c r="G4" s="30"/>
      <c r="H4" s="30"/>
    </row>
    <row r="5" spans="1:8" ht="19.899999999999999" customHeight="1" thickBot="1" x14ac:dyDescent="0.35">
      <c r="A5" s="33" t="s">
        <v>28</v>
      </c>
      <c r="B5" s="33" t="s">
        <v>29</v>
      </c>
      <c r="C5" s="33" t="s">
        <v>30</v>
      </c>
      <c r="D5" s="33" t="s">
        <v>31</v>
      </c>
      <c r="E5" s="34"/>
      <c r="F5" s="30"/>
      <c r="G5" s="33" t="s">
        <v>28</v>
      </c>
      <c r="H5" s="33" t="s">
        <v>31</v>
      </c>
    </row>
    <row r="6" spans="1:8" ht="19.899999999999999" customHeight="1" thickBot="1" x14ac:dyDescent="0.35">
      <c r="A6" s="35">
        <v>1</v>
      </c>
      <c r="B6" s="36" t="s">
        <v>32</v>
      </c>
      <c r="C6" s="37" t="s">
        <v>33</v>
      </c>
      <c r="D6" s="38" t="s">
        <v>34</v>
      </c>
      <c r="E6" s="30"/>
      <c r="F6" s="30"/>
      <c r="G6" s="30">
        <v>8</v>
      </c>
      <c r="H6" s="30" t="str">
        <f>VLOOKUP(G6,A6:D34,4)</f>
        <v>Omaha</v>
      </c>
    </row>
    <row r="7" spans="1:8" ht="19.899999999999999" customHeight="1" thickBot="1" x14ac:dyDescent="0.35">
      <c r="A7" s="39">
        <v>2</v>
      </c>
      <c r="B7" s="40" t="s">
        <v>35</v>
      </c>
      <c r="C7" s="41" t="s">
        <v>36</v>
      </c>
      <c r="D7" s="42" t="s">
        <v>37</v>
      </c>
      <c r="E7" s="30"/>
      <c r="F7" s="30"/>
      <c r="G7" s="30"/>
      <c r="H7" s="30"/>
    </row>
    <row r="8" spans="1:8" ht="19.899999999999999" customHeight="1" thickBot="1" x14ac:dyDescent="0.35">
      <c r="A8" s="39">
        <v>3</v>
      </c>
      <c r="B8" s="40" t="s">
        <v>38</v>
      </c>
      <c r="C8" s="41" t="s">
        <v>39</v>
      </c>
      <c r="D8" s="42" t="s">
        <v>40</v>
      </c>
      <c r="E8" s="30"/>
      <c r="F8" s="30"/>
    </row>
    <row r="9" spans="1:8" ht="19.899999999999999" customHeight="1" thickBot="1" x14ac:dyDescent="0.35">
      <c r="A9" s="39">
        <v>4</v>
      </c>
      <c r="B9" s="40" t="s">
        <v>41</v>
      </c>
      <c r="C9" s="41" t="s">
        <v>42</v>
      </c>
      <c r="D9" s="42" t="s">
        <v>43</v>
      </c>
      <c r="E9" s="30"/>
      <c r="F9" s="30"/>
    </row>
    <row r="10" spans="1:8" ht="19.899999999999999" customHeight="1" thickBot="1" x14ac:dyDescent="0.35">
      <c r="A10" s="39">
        <v>5</v>
      </c>
      <c r="B10" s="40" t="s">
        <v>44</v>
      </c>
      <c r="C10" s="41" t="s">
        <v>45</v>
      </c>
      <c r="D10" s="42" t="s">
        <v>46</v>
      </c>
      <c r="E10" s="30"/>
      <c r="F10" s="30"/>
      <c r="G10" s="33" t="s">
        <v>285</v>
      </c>
      <c r="H10" s="33" t="s">
        <v>286</v>
      </c>
    </row>
    <row r="11" spans="1:8" ht="19.899999999999999" customHeight="1" thickBot="1" x14ac:dyDescent="0.35">
      <c r="A11" s="39">
        <v>6</v>
      </c>
      <c r="B11" s="40" t="s">
        <v>47</v>
      </c>
      <c r="C11" s="41" t="s">
        <v>48</v>
      </c>
      <c r="D11" s="42" t="s">
        <v>49</v>
      </c>
      <c r="E11" s="30"/>
      <c r="F11" s="30"/>
      <c r="G11" s="30" t="s">
        <v>70</v>
      </c>
      <c r="H11" s="30" t="str">
        <f>VLOOKUP("Jack Sparrow",B6:D34,2,FALSE)</f>
        <v>Property &amp; Casualty Insurance</v>
      </c>
    </row>
    <row r="12" spans="1:8" ht="19.899999999999999" customHeight="1" thickBot="1" x14ac:dyDescent="0.35">
      <c r="A12" s="39">
        <v>7</v>
      </c>
      <c r="B12" s="40" t="s">
        <v>50</v>
      </c>
      <c r="C12" s="41" t="s">
        <v>51</v>
      </c>
      <c r="D12" s="42" t="s">
        <v>52</v>
      </c>
      <c r="E12" s="30"/>
      <c r="F12" s="30"/>
    </row>
    <row r="13" spans="1:8" ht="19.899999999999999" customHeight="1" thickBot="1" x14ac:dyDescent="0.35">
      <c r="A13" s="39">
        <v>8</v>
      </c>
      <c r="B13" s="40" t="s">
        <v>53</v>
      </c>
      <c r="C13" s="41" t="s">
        <v>54</v>
      </c>
      <c r="D13" s="42" t="s">
        <v>55</v>
      </c>
      <c r="E13" s="30"/>
      <c r="F13" s="30"/>
    </row>
    <row r="14" spans="1:8" ht="19.899999999999999" customHeight="1" thickBot="1" x14ac:dyDescent="0.35">
      <c r="A14" s="39">
        <v>9</v>
      </c>
      <c r="B14" s="40" t="s">
        <v>56</v>
      </c>
      <c r="C14" s="41" t="s">
        <v>57</v>
      </c>
      <c r="D14" s="42" t="s">
        <v>58</v>
      </c>
      <c r="E14" s="30"/>
      <c r="F14" s="30"/>
    </row>
    <row r="15" spans="1:8" ht="19.899999999999999" customHeight="1" thickBot="1" x14ac:dyDescent="0.35">
      <c r="A15" s="39">
        <v>10</v>
      </c>
      <c r="B15" s="40" t="s">
        <v>59</v>
      </c>
      <c r="C15" s="41" t="s">
        <v>60</v>
      </c>
      <c r="D15" s="42" t="s">
        <v>61</v>
      </c>
      <c r="E15" s="30"/>
      <c r="F15" s="30"/>
    </row>
    <row r="16" spans="1:8" ht="19.899999999999999" customHeight="1" thickBot="1" x14ac:dyDescent="0.35">
      <c r="A16" s="39">
        <v>11</v>
      </c>
      <c r="B16" s="40" t="s">
        <v>62</v>
      </c>
      <c r="C16" s="41" t="s">
        <v>54</v>
      </c>
      <c r="D16" s="42" t="s">
        <v>63</v>
      </c>
      <c r="E16" s="30"/>
      <c r="F16" s="30"/>
      <c r="G16" s="30"/>
      <c r="H16" s="30"/>
    </row>
    <row r="17" spans="1:8" ht="19.899999999999999" customHeight="1" thickBot="1" x14ac:dyDescent="0.35">
      <c r="A17" s="39">
        <v>12</v>
      </c>
      <c r="B17" s="40" t="s">
        <v>64</v>
      </c>
      <c r="C17" s="41" t="s">
        <v>65</v>
      </c>
      <c r="D17" s="42" t="s">
        <v>66</v>
      </c>
      <c r="E17" s="30"/>
      <c r="F17" s="30"/>
      <c r="G17" s="30"/>
      <c r="H17" s="30"/>
    </row>
    <row r="18" spans="1:8" ht="19.899999999999999" customHeight="1" thickBot="1" x14ac:dyDescent="0.35">
      <c r="A18" s="39">
        <v>13</v>
      </c>
      <c r="B18" s="40" t="s">
        <v>67</v>
      </c>
      <c r="C18" s="41" t="s">
        <v>68</v>
      </c>
      <c r="D18" s="42" t="s">
        <v>69</v>
      </c>
      <c r="E18" s="30"/>
      <c r="F18" s="30"/>
      <c r="G18" s="30"/>
      <c r="H18" s="30"/>
    </row>
    <row r="19" spans="1:8" ht="19.899999999999999" customHeight="1" thickBot="1" x14ac:dyDescent="0.35">
      <c r="A19" s="39">
        <v>14</v>
      </c>
      <c r="B19" s="40" t="s">
        <v>70</v>
      </c>
      <c r="C19" s="41" t="s">
        <v>71</v>
      </c>
      <c r="D19" s="42" t="s">
        <v>72</v>
      </c>
      <c r="E19" s="30"/>
      <c r="F19" s="30"/>
      <c r="G19" s="30"/>
      <c r="H19" s="30"/>
    </row>
    <row r="20" spans="1:8" ht="19.899999999999999" customHeight="1" thickBot="1" x14ac:dyDescent="0.35">
      <c r="A20" s="39">
        <v>15</v>
      </c>
      <c r="B20" s="40" t="s">
        <v>73</v>
      </c>
      <c r="C20" s="41" t="s">
        <v>74</v>
      </c>
      <c r="D20" s="42" t="s">
        <v>75</v>
      </c>
      <c r="E20" s="30"/>
      <c r="F20" s="30"/>
      <c r="G20" s="30"/>
      <c r="H20" s="30"/>
    </row>
    <row r="21" spans="1:8" ht="19.899999999999999" customHeight="1" thickBot="1" x14ac:dyDescent="0.35">
      <c r="A21" s="39">
        <v>16</v>
      </c>
      <c r="B21" s="40" t="s">
        <v>76</v>
      </c>
      <c r="C21" s="41" t="s">
        <v>77</v>
      </c>
      <c r="D21" s="42" t="s">
        <v>78</v>
      </c>
      <c r="E21" s="30"/>
      <c r="F21" s="30"/>
      <c r="G21" s="30"/>
      <c r="H21" s="30"/>
    </row>
    <row r="22" spans="1:8" ht="19.899999999999999" customHeight="1" thickBot="1" x14ac:dyDescent="0.35">
      <c r="A22" s="39">
        <v>17</v>
      </c>
      <c r="B22" s="40" t="s">
        <v>79</v>
      </c>
      <c r="C22" s="41" t="s">
        <v>36</v>
      </c>
      <c r="D22" s="42" t="s">
        <v>80</v>
      </c>
      <c r="E22" s="30"/>
      <c r="F22" s="30"/>
      <c r="G22" s="30"/>
      <c r="H22" s="30"/>
    </row>
    <row r="23" spans="1:8" ht="19.899999999999999" customHeight="1" thickBot="1" x14ac:dyDescent="0.35">
      <c r="A23" s="39">
        <v>18</v>
      </c>
      <c r="B23" s="40" t="s">
        <v>81</v>
      </c>
      <c r="C23" s="41" t="s">
        <v>82</v>
      </c>
      <c r="D23" s="42" t="s">
        <v>83</v>
      </c>
      <c r="E23" s="30"/>
      <c r="F23" s="30"/>
      <c r="G23" s="30"/>
      <c r="H23" s="30"/>
    </row>
    <row r="24" spans="1:8" ht="19.899999999999999" customHeight="1" thickBot="1" x14ac:dyDescent="0.35">
      <c r="A24" s="39">
        <v>19</v>
      </c>
      <c r="B24" s="40" t="s">
        <v>84</v>
      </c>
      <c r="C24" s="41" t="s">
        <v>68</v>
      </c>
      <c r="D24" s="42" t="s">
        <v>85</v>
      </c>
      <c r="E24" s="30"/>
      <c r="F24" s="30"/>
      <c r="G24" s="30"/>
      <c r="H24" s="30"/>
    </row>
    <row r="25" spans="1:8" ht="19.899999999999999" customHeight="1" thickBot="1" x14ac:dyDescent="0.35">
      <c r="A25" s="39">
        <v>20</v>
      </c>
      <c r="B25" s="40" t="s">
        <v>86</v>
      </c>
      <c r="C25" s="41" t="s">
        <v>87</v>
      </c>
      <c r="D25" s="42" t="s">
        <v>88</v>
      </c>
      <c r="E25" s="30"/>
      <c r="F25" s="30"/>
      <c r="G25" s="30"/>
      <c r="H25" s="30"/>
    </row>
    <row r="26" spans="1:8" ht="19.899999999999999" customHeight="1" thickBot="1" x14ac:dyDescent="0.35">
      <c r="A26" s="39">
        <v>21</v>
      </c>
      <c r="B26" s="40" t="s">
        <v>89</v>
      </c>
      <c r="C26" s="41" t="s">
        <v>90</v>
      </c>
      <c r="D26" s="42" t="s">
        <v>91</v>
      </c>
      <c r="E26" s="30"/>
      <c r="F26" s="30"/>
      <c r="G26" s="30"/>
      <c r="H26" s="30"/>
    </row>
    <row r="27" spans="1:8" ht="19.899999999999999" customHeight="1" thickBot="1" x14ac:dyDescent="0.35">
      <c r="A27" s="39">
        <v>22</v>
      </c>
      <c r="B27" s="40" t="s">
        <v>92</v>
      </c>
      <c r="C27" s="41" t="s">
        <v>93</v>
      </c>
      <c r="D27" s="42" t="s">
        <v>94</v>
      </c>
      <c r="E27" s="34"/>
      <c r="F27" s="30"/>
      <c r="G27" s="30"/>
      <c r="H27" s="30"/>
    </row>
    <row r="28" spans="1:8" ht="19.899999999999999" customHeight="1" thickBot="1" x14ac:dyDescent="0.35">
      <c r="A28" s="39">
        <v>23</v>
      </c>
      <c r="B28" s="40" t="s">
        <v>95</v>
      </c>
      <c r="C28" s="41" t="s">
        <v>96</v>
      </c>
      <c r="D28" s="42" t="s">
        <v>97</v>
      </c>
      <c r="E28" s="30"/>
      <c r="F28" s="30"/>
      <c r="G28" s="30"/>
      <c r="H28" s="30"/>
    </row>
    <row r="29" spans="1:8" ht="19.899999999999999" customHeight="1" thickBot="1" x14ac:dyDescent="0.35">
      <c r="A29" s="39">
        <v>24</v>
      </c>
      <c r="B29" s="40" t="s">
        <v>98</v>
      </c>
      <c r="C29" s="41" t="s">
        <v>99</v>
      </c>
      <c r="D29" s="42" t="s">
        <v>100</v>
      </c>
      <c r="E29" s="30"/>
      <c r="F29" s="30"/>
      <c r="G29" s="30"/>
      <c r="H29" s="30"/>
    </row>
    <row r="30" spans="1:8" ht="19.899999999999999" customHeight="1" thickBot="1" x14ac:dyDescent="0.35">
      <c r="A30" s="39">
        <v>25</v>
      </c>
      <c r="B30" s="40" t="s">
        <v>101</v>
      </c>
      <c r="C30" s="41" t="s">
        <v>102</v>
      </c>
      <c r="D30" s="42" t="s">
        <v>103</v>
      </c>
      <c r="E30" s="30"/>
      <c r="F30" s="30"/>
      <c r="G30" s="30"/>
      <c r="H30" s="30"/>
    </row>
    <row r="31" spans="1:8" ht="19.899999999999999" customHeight="1" thickBot="1" x14ac:dyDescent="0.35">
      <c r="A31" s="39">
        <v>26</v>
      </c>
      <c r="B31" s="40" t="s">
        <v>104</v>
      </c>
      <c r="C31" s="41" t="s">
        <v>105</v>
      </c>
      <c r="D31" s="42" t="s">
        <v>106</v>
      </c>
      <c r="E31" s="30"/>
      <c r="F31" s="30"/>
      <c r="G31" s="30"/>
      <c r="H31" s="30"/>
    </row>
    <row r="32" spans="1:8" ht="19.899999999999999" customHeight="1" thickBot="1" x14ac:dyDescent="0.35">
      <c r="A32" s="39">
        <v>27</v>
      </c>
      <c r="B32" s="40" t="s">
        <v>107</v>
      </c>
      <c r="C32" s="41" t="s">
        <v>108</v>
      </c>
      <c r="D32" s="42" t="s">
        <v>109</v>
      </c>
      <c r="E32" s="30"/>
      <c r="F32" s="30"/>
      <c r="G32" s="30"/>
      <c r="H32" s="30"/>
    </row>
    <row r="33" spans="1:8" ht="19.899999999999999" customHeight="1" thickBot="1" x14ac:dyDescent="0.35">
      <c r="A33" s="39">
        <v>28</v>
      </c>
      <c r="B33" s="40" t="s">
        <v>110</v>
      </c>
      <c r="C33" s="41" t="s">
        <v>96</v>
      </c>
      <c r="D33" s="42" t="s">
        <v>111</v>
      </c>
      <c r="E33" s="30"/>
      <c r="F33" s="30"/>
      <c r="G33" s="30"/>
      <c r="H33" s="30"/>
    </row>
    <row r="34" spans="1:8" ht="19.899999999999999" customHeight="1" thickBot="1" x14ac:dyDescent="0.35">
      <c r="A34" s="43">
        <v>29</v>
      </c>
      <c r="B34" s="44" t="s">
        <v>112</v>
      </c>
      <c r="C34" s="45" t="s">
        <v>113</v>
      </c>
      <c r="D34" s="46" t="s">
        <v>114</v>
      </c>
      <c r="E34" s="30"/>
      <c r="F34" s="30"/>
      <c r="G34" s="30"/>
      <c r="H34" s="30"/>
    </row>
    <row r="35" spans="1:8" ht="19.899999999999999" customHeight="1" thickBot="1" x14ac:dyDescent="0.3">
      <c r="A35" s="30"/>
      <c r="B35" s="30"/>
      <c r="C35" s="30"/>
      <c r="D35" s="30"/>
      <c r="E35" s="30"/>
      <c r="F35" s="30"/>
      <c r="G35" s="30"/>
      <c r="H35" s="30"/>
    </row>
    <row r="36" spans="1:8" ht="19.899999999999999" customHeight="1" thickBot="1" x14ac:dyDescent="0.3">
      <c r="A36" s="30"/>
      <c r="B36" s="30"/>
      <c r="C36" s="30"/>
      <c r="D36" s="30"/>
      <c r="E36" s="30"/>
      <c r="F36" s="30"/>
      <c r="G36" s="30"/>
      <c r="H36" s="30"/>
    </row>
    <row r="38" spans="1:8" ht="15.75" x14ac:dyDescent="0.25">
      <c r="D38" s="49" t="s">
        <v>128</v>
      </c>
    </row>
    <row r="40" spans="1:8" x14ac:dyDescent="0.25">
      <c r="C40" t="s">
        <v>115</v>
      </c>
      <c r="D40" t="s">
        <v>116</v>
      </c>
      <c r="E40" t="s">
        <v>117</v>
      </c>
      <c r="G40" s="80" t="s">
        <v>287</v>
      </c>
      <c r="H40" s="81" t="s">
        <v>117</v>
      </c>
    </row>
    <row r="41" spans="1:8" x14ac:dyDescent="0.25">
      <c r="C41" s="47">
        <v>40</v>
      </c>
      <c r="D41" s="47" t="s">
        <v>118</v>
      </c>
      <c r="E41" s="47" t="s">
        <v>119</v>
      </c>
      <c r="G41" s="82">
        <v>90</v>
      </c>
      <c r="H41" s="82" t="str">
        <f>VLOOKUP(G41,Table1[],3)</f>
        <v>A</v>
      </c>
    </row>
    <row r="42" spans="1:8" x14ac:dyDescent="0.25">
      <c r="C42" s="47">
        <v>50</v>
      </c>
      <c r="D42" s="47" t="s">
        <v>120</v>
      </c>
      <c r="E42" s="47" t="s">
        <v>121</v>
      </c>
    </row>
    <row r="43" spans="1:8" x14ac:dyDescent="0.25">
      <c r="C43" s="47">
        <v>60</v>
      </c>
      <c r="D43" s="47" t="s">
        <v>122</v>
      </c>
      <c r="E43" s="47" t="s">
        <v>123</v>
      </c>
    </row>
    <row r="44" spans="1:8" x14ac:dyDescent="0.25">
      <c r="C44" s="47">
        <v>75</v>
      </c>
      <c r="D44" s="47" t="s">
        <v>124</v>
      </c>
      <c r="E44" s="47" t="s">
        <v>125</v>
      </c>
    </row>
    <row r="45" spans="1:8" x14ac:dyDescent="0.25">
      <c r="C45" s="47">
        <v>80</v>
      </c>
      <c r="D45" s="47" t="s">
        <v>126</v>
      </c>
      <c r="E45" s="47" t="s">
        <v>127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>
      <selection activeCell="E8" sqref="E8"/>
    </sheetView>
  </sheetViews>
  <sheetFormatPr defaultRowHeight="15" x14ac:dyDescent="0.25"/>
  <cols>
    <col min="1" max="1" width="31.42578125" bestFit="1" customWidth="1"/>
    <col min="2" max="3" width="15.7109375" customWidth="1"/>
    <col min="4" max="4" width="20.28515625" customWidth="1"/>
    <col min="5" max="7" width="15.7109375" customWidth="1"/>
    <col min="9" max="9" width="16" bestFit="1" customWidth="1"/>
    <col min="10" max="15" width="14.7109375" bestFit="1" customWidth="1"/>
  </cols>
  <sheetData>
    <row r="1" spans="1:15" ht="18" x14ac:dyDescent="0.25">
      <c r="A1" s="50" t="s">
        <v>129</v>
      </c>
      <c r="B1" s="51"/>
      <c r="C1" s="52"/>
      <c r="D1" s="52"/>
      <c r="E1" s="52"/>
      <c r="F1" s="52"/>
      <c r="G1" s="52"/>
      <c r="H1" s="51"/>
      <c r="I1" s="51"/>
      <c r="J1" s="51"/>
      <c r="K1" s="51"/>
      <c r="L1" s="51"/>
      <c r="M1" s="51"/>
      <c r="N1" s="51"/>
      <c r="O1" s="51"/>
    </row>
    <row r="2" spans="1:15" ht="18" x14ac:dyDescent="0.25">
      <c r="A2" s="51"/>
      <c r="B2" s="51"/>
      <c r="C2" s="52"/>
      <c r="D2" s="52"/>
      <c r="E2" s="52"/>
      <c r="F2" s="52"/>
      <c r="G2" s="52"/>
      <c r="H2" s="51"/>
      <c r="I2" s="51"/>
      <c r="J2" s="51"/>
      <c r="K2" s="51"/>
      <c r="L2" s="51"/>
      <c r="M2" s="51"/>
      <c r="N2" s="51"/>
      <c r="O2" s="51"/>
    </row>
    <row r="3" spans="1:15" ht="18" x14ac:dyDescent="0.25">
      <c r="A3" s="53" t="s">
        <v>130</v>
      </c>
      <c r="B3" s="53" t="s">
        <v>131</v>
      </c>
      <c r="C3" s="54" t="s">
        <v>132</v>
      </c>
      <c r="D3" s="54" t="s">
        <v>133</v>
      </c>
      <c r="E3" s="54" t="s">
        <v>134</v>
      </c>
      <c r="F3" s="54" t="s">
        <v>135</v>
      </c>
      <c r="H3" s="51"/>
      <c r="I3" s="51"/>
      <c r="J3" s="51"/>
      <c r="K3" s="51"/>
      <c r="L3" s="51"/>
      <c r="M3" s="51"/>
      <c r="N3" s="51"/>
      <c r="O3" s="51"/>
    </row>
    <row r="4" spans="1:15" ht="18" x14ac:dyDescent="0.25">
      <c r="A4" s="55" t="s">
        <v>136</v>
      </c>
      <c r="B4" s="55" t="s">
        <v>137</v>
      </c>
      <c r="C4" s="56">
        <v>6</v>
      </c>
      <c r="D4" s="56" t="s">
        <v>138</v>
      </c>
      <c r="E4" s="83" t="str">
        <f>HLOOKUP(D4,$J$4:$O$5,2,FALSE)</f>
        <v>13/6/2026</v>
      </c>
      <c r="F4" s="57">
        <v>0.4375</v>
      </c>
      <c r="H4" s="51"/>
      <c r="I4" s="58" t="s">
        <v>139</v>
      </c>
      <c r="J4" s="58" t="s">
        <v>140</v>
      </c>
      <c r="K4" s="58" t="s">
        <v>141</v>
      </c>
      <c r="L4" s="58" t="s">
        <v>19</v>
      </c>
      <c r="M4" s="58" t="s">
        <v>142</v>
      </c>
      <c r="N4" s="58" t="s">
        <v>143</v>
      </c>
      <c r="O4" s="58" t="s">
        <v>138</v>
      </c>
    </row>
    <row r="5" spans="1:15" ht="18" x14ac:dyDescent="0.25">
      <c r="A5" s="55" t="s">
        <v>144</v>
      </c>
      <c r="B5" s="55" t="s">
        <v>145</v>
      </c>
      <c r="C5" s="56">
        <v>2</v>
      </c>
      <c r="D5" s="56" t="s">
        <v>19</v>
      </c>
      <c r="E5" s="83">
        <f t="shared" ref="E5:E23" si="0">HLOOKUP(D5,$J$4:$O$5,2,FALSE)</f>
        <v>46301</v>
      </c>
      <c r="F5" s="57">
        <v>0.41666666666666669</v>
      </c>
      <c r="H5" s="51"/>
      <c r="I5" s="58" t="s">
        <v>134</v>
      </c>
      <c r="J5" s="59">
        <v>46240</v>
      </c>
      <c r="K5" s="59">
        <v>46271</v>
      </c>
      <c r="L5" s="59">
        <v>46301</v>
      </c>
      <c r="M5" s="59">
        <v>46332</v>
      </c>
      <c r="N5" s="59">
        <v>46362</v>
      </c>
      <c r="O5" s="59" t="s">
        <v>288</v>
      </c>
    </row>
    <row r="6" spans="1:15" ht="18" x14ac:dyDescent="0.25">
      <c r="A6" s="55" t="s">
        <v>146</v>
      </c>
      <c r="B6" s="55" t="s">
        <v>147</v>
      </c>
      <c r="C6" s="56">
        <v>2</v>
      </c>
      <c r="D6" s="56" t="s">
        <v>142</v>
      </c>
      <c r="E6" s="83">
        <f t="shared" si="0"/>
        <v>46332</v>
      </c>
      <c r="F6" s="57">
        <v>0.58333333333333337</v>
      </c>
      <c r="H6" s="51"/>
      <c r="I6" s="51"/>
      <c r="J6" s="51"/>
      <c r="K6" s="51"/>
      <c r="L6" s="51"/>
      <c r="M6" s="51"/>
      <c r="N6" s="51"/>
      <c r="O6" s="51"/>
    </row>
    <row r="7" spans="1:15" ht="18" x14ac:dyDescent="0.25">
      <c r="A7" s="55" t="s">
        <v>148</v>
      </c>
      <c r="B7" s="55" t="s">
        <v>149</v>
      </c>
      <c r="C7" s="56">
        <v>3</v>
      </c>
      <c r="D7" s="56" t="s">
        <v>19</v>
      </c>
      <c r="E7" s="83">
        <f t="shared" si="0"/>
        <v>46301</v>
      </c>
      <c r="F7" s="57">
        <v>0.4375</v>
      </c>
      <c r="H7" s="51"/>
      <c r="I7" s="51"/>
      <c r="J7" s="51"/>
      <c r="K7" s="51"/>
      <c r="L7" s="51"/>
      <c r="M7" s="51"/>
      <c r="N7" s="51"/>
      <c r="O7" s="51"/>
    </row>
    <row r="8" spans="1:15" ht="18" x14ac:dyDescent="0.25">
      <c r="A8" s="55" t="s">
        <v>150</v>
      </c>
      <c r="B8" s="55" t="s">
        <v>151</v>
      </c>
      <c r="C8" s="56">
        <v>5</v>
      </c>
      <c r="D8" s="56" t="s">
        <v>140</v>
      </c>
      <c r="E8" s="83">
        <f t="shared" si="0"/>
        <v>46240</v>
      </c>
      <c r="F8" s="57">
        <v>0.41666666666666669</v>
      </c>
      <c r="H8" s="51"/>
      <c r="I8" s="51"/>
      <c r="J8" s="51"/>
      <c r="K8" s="51"/>
      <c r="L8" s="51"/>
      <c r="M8" s="51"/>
      <c r="N8" s="51"/>
      <c r="O8" s="51"/>
    </row>
    <row r="9" spans="1:15" ht="18" x14ac:dyDescent="0.25">
      <c r="A9" s="55" t="s">
        <v>152</v>
      </c>
      <c r="B9" s="55" t="s">
        <v>145</v>
      </c>
      <c r="C9" s="56">
        <v>7</v>
      </c>
      <c r="D9" s="56" t="s">
        <v>143</v>
      </c>
      <c r="E9" s="83">
        <f t="shared" si="0"/>
        <v>46362</v>
      </c>
      <c r="F9" s="57">
        <v>0.45833333333333331</v>
      </c>
      <c r="H9" s="51"/>
      <c r="I9" s="51"/>
      <c r="J9" s="51"/>
      <c r="K9" s="51"/>
      <c r="L9" s="51"/>
      <c r="M9" s="51"/>
      <c r="N9" s="51"/>
      <c r="O9" s="51"/>
    </row>
    <row r="10" spans="1:15" ht="18" x14ac:dyDescent="0.25">
      <c r="A10" s="55" t="s">
        <v>153</v>
      </c>
      <c r="B10" s="55" t="s">
        <v>154</v>
      </c>
      <c r="C10" s="56">
        <v>8</v>
      </c>
      <c r="D10" s="56" t="s">
        <v>138</v>
      </c>
      <c r="E10" s="83" t="str">
        <f t="shared" si="0"/>
        <v>13/6/2026</v>
      </c>
      <c r="F10" s="57">
        <v>0.47916666666666669</v>
      </c>
      <c r="H10" s="51"/>
      <c r="I10" s="51"/>
      <c r="J10" s="51"/>
      <c r="K10" s="51"/>
      <c r="L10" s="51"/>
      <c r="M10" s="51"/>
      <c r="N10" s="51"/>
      <c r="O10" s="51"/>
    </row>
    <row r="11" spans="1:15" ht="18" x14ac:dyDescent="0.25">
      <c r="A11" s="55" t="s">
        <v>155</v>
      </c>
      <c r="B11" s="55" t="s">
        <v>137</v>
      </c>
      <c r="C11" s="56">
        <v>1</v>
      </c>
      <c r="D11" s="56" t="s">
        <v>19</v>
      </c>
      <c r="E11" s="83">
        <f t="shared" si="0"/>
        <v>46301</v>
      </c>
      <c r="F11" s="57">
        <v>0.47916666666666669</v>
      </c>
      <c r="H11" s="51"/>
      <c r="I11" s="51"/>
      <c r="J11" s="51"/>
      <c r="K11" s="51"/>
      <c r="L11" s="51"/>
      <c r="M11" s="51"/>
      <c r="N11" s="51"/>
      <c r="O11" s="51"/>
    </row>
    <row r="12" spans="1:15" ht="18" x14ac:dyDescent="0.25">
      <c r="A12" s="55" t="s">
        <v>156</v>
      </c>
      <c r="B12" s="55" t="s">
        <v>145</v>
      </c>
      <c r="C12" s="56">
        <v>4</v>
      </c>
      <c r="D12" s="56" t="s">
        <v>19</v>
      </c>
      <c r="E12" s="83">
        <f t="shared" si="0"/>
        <v>46301</v>
      </c>
      <c r="F12" s="57">
        <v>0.52083333333333337</v>
      </c>
      <c r="H12" s="51"/>
      <c r="I12" s="51"/>
      <c r="J12" s="51"/>
      <c r="K12" s="51"/>
      <c r="L12" s="51"/>
      <c r="M12" s="51"/>
      <c r="N12" s="51"/>
      <c r="O12" s="51"/>
    </row>
    <row r="13" spans="1:15" ht="18" x14ac:dyDescent="0.25">
      <c r="A13" s="55" t="s">
        <v>157</v>
      </c>
      <c r="B13" s="55" t="s">
        <v>147</v>
      </c>
      <c r="C13" s="56">
        <v>5</v>
      </c>
      <c r="D13" s="56" t="s">
        <v>141</v>
      </c>
      <c r="E13" s="83">
        <f t="shared" si="0"/>
        <v>46271</v>
      </c>
      <c r="F13" s="57">
        <v>0.58333333333333337</v>
      </c>
      <c r="H13" s="51"/>
      <c r="I13" s="51"/>
      <c r="J13" s="51"/>
      <c r="K13" s="51"/>
      <c r="L13" s="51"/>
      <c r="M13" s="51"/>
      <c r="N13" s="51"/>
      <c r="O13" s="51"/>
    </row>
    <row r="14" spans="1:15" ht="18" x14ac:dyDescent="0.25">
      <c r="A14" s="55" t="s">
        <v>158</v>
      </c>
      <c r="B14" s="55" t="s">
        <v>151</v>
      </c>
      <c r="C14" s="56">
        <v>6</v>
      </c>
      <c r="D14" s="56" t="s">
        <v>140</v>
      </c>
      <c r="E14" s="83">
        <f t="shared" si="0"/>
        <v>46240</v>
      </c>
      <c r="F14" s="57">
        <v>0.44444444444444442</v>
      </c>
      <c r="H14" s="51"/>
      <c r="I14" s="51"/>
      <c r="J14" s="51"/>
      <c r="K14" s="51"/>
      <c r="L14" s="51"/>
      <c r="M14" s="51"/>
      <c r="N14" s="51"/>
      <c r="O14" s="51"/>
    </row>
    <row r="15" spans="1:15" ht="18" x14ac:dyDescent="0.25">
      <c r="A15" s="55" t="s">
        <v>159</v>
      </c>
      <c r="B15" s="55" t="s">
        <v>160</v>
      </c>
      <c r="C15" s="56">
        <v>2</v>
      </c>
      <c r="D15" s="56" t="s">
        <v>143</v>
      </c>
      <c r="E15" s="83">
        <f t="shared" si="0"/>
        <v>46362</v>
      </c>
      <c r="F15" s="57">
        <v>0.5</v>
      </c>
      <c r="H15" s="51"/>
      <c r="I15" s="51"/>
      <c r="J15" s="51"/>
      <c r="K15" s="51"/>
      <c r="L15" s="51"/>
      <c r="M15" s="51"/>
      <c r="N15" s="51"/>
      <c r="O15" s="51"/>
    </row>
    <row r="16" spans="1:15" ht="18" x14ac:dyDescent="0.25">
      <c r="A16" s="55" t="s">
        <v>161</v>
      </c>
      <c r="B16" s="55" t="s">
        <v>162</v>
      </c>
      <c r="C16" s="56">
        <v>6</v>
      </c>
      <c r="D16" s="56" t="s">
        <v>143</v>
      </c>
      <c r="E16" s="83">
        <f t="shared" si="0"/>
        <v>46362</v>
      </c>
      <c r="F16" s="57">
        <v>0.60416666666666663</v>
      </c>
      <c r="H16" s="51"/>
      <c r="I16" s="51"/>
      <c r="J16" s="51"/>
      <c r="K16" s="51"/>
      <c r="L16" s="51"/>
      <c r="M16" s="51"/>
      <c r="N16" s="51"/>
      <c r="O16" s="51"/>
    </row>
    <row r="17" spans="1:15" ht="18" x14ac:dyDescent="0.25">
      <c r="A17" s="55" t="s">
        <v>163</v>
      </c>
      <c r="B17" s="55" t="s">
        <v>164</v>
      </c>
      <c r="C17" s="56">
        <v>4</v>
      </c>
      <c r="D17" s="56" t="s">
        <v>141</v>
      </c>
      <c r="E17" s="83">
        <f t="shared" si="0"/>
        <v>46271</v>
      </c>
      <c r="F17" s="57">
        <v>0.61111111111111105</v>
      </c>
      <c r="H17" s="51"/>
      <c r="I17" s="51"/>
      <c r="J17" s="51"/>
      <c r="K17" s="51"/>
      <c r="L17" s="51"/>
      <c r="M17" s="51"/>
      <c r="N17" s="51"/>
      <c r="O17" s="51"/>
    </row>
    <row r="18" spans="1:15" ht="18" x14ac:dyDescent="0.25">
      <c r="A18" s="55" t="s">
        <v>165</v>
      </c>
      <c r="B18" s="55" t="s">
        <v>166</v>
      </c>
      <c r="C18" s="56">
        <v>6</v>
      </c>
      <c r="D18" s="56" t="s">
        <v>138</v>
      </c>
      <c r="E18" s="83" t="str">
        <f t="shared" si="0"/>
        <v>13/6/2026</v>
      </c>
      <c r="F18" s="57">
        <v>0.58333333333333337</v>
      </c>
      <c r="H18" s="51"/>
      <c r="I18" s="51"/>
      <c r="J18" s="51"/>
      <c r="K18" s="51"/>
      <c r="L18" s="51"/>
      <c r="M18" s="51"/>
      <c r="N18" s="51"/>
      <c r="O18" s="51"/>
    </row>
    <row r="19" spans="1:15" ht="18" x14ac:dyDescent="0.25">
      <c r="A19" s="55" t="s">
        <v>167</v>
      </c>
      <c r="B19" s="55" t="s">
        <v>168</v>
      </c>
      <c r="C19" s="56">
        <v>8</v>
      </c>
      <c r="D19" s="56" t="s">
        <v>140</v>
      </c>
      <c r="E19" s="83">
        <f t="shared" si="0"/>
        <v>46240</v>
      </c>
      <c r="F19" s="57">
        <v>0.47222222222222227</v>
      </c>
      <c r="H19" s="51"/>
      <c r="I19" s="51"/>
      <c r="J19" s="51"/>
      <c r="K19" s="51"/>
      <c r="L19" s="51"/>
      <c r="M19" s="51"/>
      <c r="N19" s="51"/>
      <c r="O19" s="51"/>
    </row>
    <row r="20" spans="1:15" ht="18" x14ac:dyDescent="0.25">
      <c r="A20" s="55" t="s">
        <v>169</v>
      </c>
      <c r="B20" s="55" t="s">
        <v>149</v>
      </c>
      <c r="C20" s="56">
        <v>3</v>
      </c>
      <c r="D20" s="56" t="s">
        <v>142</v>
      </c>
      <c r="E20" s="83">
        <f t="shared" si="0"/>
        <v>46332</v>
      </c>
      <c r="F20" s="57">
        <v>0.60416666666666663</v>
      </c>
      <c r="H20" s="51"/>
      <c r="I20" s="51"/>
      <c r="J20" s="51"/>
      <c r="K20" s="51"/>
      <c r="L20" s="51"/>
      <c r="M20" s="51"/>
      <c r="N20" s="51"/>
      <c r="O20" s="51"/>
    </row>
    <row r="21" spans="1:15" ht="18" x14ac:dyDescent="0.25">
      <c r="A21" s="55" t="s">
        <v>170</v>
      </c>
      <c r="B21" s="55" t="s">
        <v>147</v>
      </c>
      <c r="C21" s="56">
        <v>6</v>
      </c>
      <c r="D21" s="56" t="s">
        <v>142</v>
      </c>
      <c r="E21" s="83">
        <f t="shared" si="0"/>
        <v>46332</v>
      </c>
      <c r="F21" s="57">
        <v>0.63888888888888895</v>
      </c>
      <c r="H21" s="51"/>
      <c r="I21" s="51"/>
      <c r="J21" s="51"/>
      <c r="K21" s="51"/>
      <c r="L21" s="51"/>
      <c r="M21" s="51"/>
      <c r="N21" s="51"/>
      <c r="O21" s="51"/>
    </row>
    <row r="22" spans="1:15" ht="18" x14ac:dyDescent="0.25">
      <c r="A22" s="55" t="s">
        <v>171</v>
      </c>
      <c r="B22" s="55" t="s">
        <v>160</v>
      </c>
      <c r="C22" s="56">
        <v>8</v>
      </c>
      <c r="D22" s="56" t="s">
        <v>138</v>
      </c>
      <c r="E22" s="83" t="str">
        <f t="shared" si="0"/>
        <v>13/6/2026</v>
      </c>
      <c r="F22" s="57">
        <v>0.625</v>
      </c>
      <c r="H22" s="51"/>
      <c r="I22" s="51"/>
      <c r="J22" s="51"/>
      <c r="K22" s="51"/>
      <c r="L22" s="51"/>
      <c r="M22" s="51"/>
      <c r="N22" s="51"/>
      <c r="O22" s="51"/>
    </row>
    <row r="23" spans="1:15" ht="18" x14ac:dyDescent="0.25">
      <c r="A23" s="55" t="s">
        <v>172</v>
      </c>
      <c r="B23" s="55" t="s">
        <v>149</v>
      </c>
      <c r="C23" s="56">
        <v>5</v>
      </c>
      <c r="D23" s="56" t="s">
        <v>19</v>
      </c>
      <c r="E23" s="83">
        <f t="shared" si="0"/>
        <v>46301</v>
      </c>
      <c r="F23" s="57">
        <v>0.60416666666666663</v>
      </c>
      <c r="H23" s="51"/>
      <c r="I23" s="51"/>
      <c r="J23" s="51"/>
      <c r="K23" s="51"/>
      <c r="L23" s="51"/>
      <c r="M23" s="51"/>
      <c r="N23" s="51"/>
      <c r="O23" s="51"/>
    </row>
    <row r="24" spans="1:15" ht="18" x14ac:dyDescent="0.25">
      <c r="A24" s="51"/>
      <c r="B24" s="51"/>
      <c r="C24" s="52"/>
      <c r="D24" s="52"/>
      <c r="E24" s="52"/>
      <c r="F24" s="52"/>
      <c r="G24" s="52"/>
      <c r="H24" s="51"/>
      <c r="I24" s="51"/>
      <c r="J24" s="51"/>
      <c r="K24" s="51"/>
      <c r="L24" s="51"/>
      <c r="M24" s="51"/>
      <c r="N24" s="51"/>
      <c r="O24" s="51"/>
    </row>
    <row r="25" spans="1:15" ht="18" x14ac:dyDescent="0.25">
      <c r="A25" s="51"/>
      <c r="B25" s="51"/>
      <c r="C25" s="52"/>
      <c r="D25" s="52"/>
      <c r="E25" s="52"/>
      <c r="F25" s="52"/>
      <c r="G25" s="52"/>
      <c r="H25" s="51"/>
      <c r="I25" s="51"/>
      <c r="J25" s="51"/>
      <c r="K25" s="51"/>
      <c r="L25" s="51"/>
      <c r="M25" s="51"/>
      <c r="N25" s="51"/>
      <c r="O25" s="5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workbookViewId="0">
      <selection activeCell="F5" sqref="F5"/>
    </sheetView>
  </sheetViews>
  <sheetFormatPr defaultRowHeight="15" x14ac:dyDescent="0.25"/>
  <cols>
    <col min="1" max="1" width="29.5703125" customWidth="1"/>
    <col min="2" max="2" width="27" customWidth="1"/>
    <col min="3" max="3" width="25.5703125" customWidth="1"/>
    <col min="4" max="4" width="27.5703125" customWidth="1"/>
    <col min="5" max="5" width="15.7109375" customWidth="1"/>
    <col min="6" max="6" width="65.7109375" customWidth="1"/>
    <col min="7" max="10" width="15.7109375" customWidth="1"/>
  </cols>
  <sheetData>
    <row r="1" spans="1:11" x14ac:dyDescent="0.25">
      <c r="A1" s="72" t="s">
        <v>220</v>
      </c>
      <c r="B1" s="72" t="s">
        <v>221</v>
      </c>
      <c r="C1" s="72" t="s">
        <v>222</v>
      </c>
      <c r="D1" s="72" t="s">
        <v>223</v>
      </c>
    </row>
    <row r="2" spans="1:11" x14ac:dyDescent="0.25">
      <c r="A2" s="73">
        <v>1001</v>
      </c>
      <c r="B2" s="73" t="s">
        <v>224</v>
      </c>
      <c r="C2" s="73" t="s">
        <v>225</v>
      </c>
      <c r="D2" s="73">
        <v>35000</v>
      </c>
    </row>
    <row r="3" spans="1:11" x14ac:dyDescent="0.25">
      <c r="A3" s="73">
        <v>1002</v>
      </c>
      <c r="B3" s="73" t="s">
        <v>226</v>
      </c>
      <c r="C3" s="73" t="s">
        <v>227</v>
      </c>
      <c r="D3" s="73">
        <v>40000</v>
      </c>
    </row>
    <row r="4" spans="1:11" x14ac:dyDescent="0.25">
      <c r="A4" s="73">
        <v>1003</v>
      </c>
      <c r="B4" s="73" t="s">
        <v>228</v>
      </c>
      <c r="C4" s="73" t="s">
        <v>229</v>
      </c>
      <c r="D4" s="73">
        <v>45000</v>
      </c>
      <c r="F4" s="74" t="s">
        <v>278</v>
      </c>
    </row>
    <row r="5" spans="1:11" x14ac:dyDescent="0.25">
      <c r="A5" s="73">
        <v>1004</v>
      </c>
      <c r="B5" s="73" t="s">
        <v>230</v>
      </c>
      <c r="C5" s="73" t="s">
        <v>231</v>
      </c>
      <c r="D5" s="73">
        <v>42000</v>
      </c>
      <c r="F5" s="47"/>
    </row>
    <row r="6" spans="1:11" x14ac:dyDescent="0.25">
      <c r="A6" s="73">
        <v>1005</v>
      </c>
      <c r="B6" s="73" t="s">
        <v>232</v>
      </c>
      <c r="C6" s="73" t="s">
        <v>225</v>
      </c>
      <c r="D6" s="73">
        <v>38000</v>
      </c>
      <c r="F6" s="47"/>
    </row>
    <row r="7" spans="1:11" x14ac:dyDescent="0.25">
      <c r="A7" s="73">
        <v>1006</v>
      </c>
      <c r="B7" s="73" t="s">
        <v>233</v>
      </c>
      <c r="C7" s="73" t="s">
        <v>229</v>
      </c>
      <c r="D7" s="73">
        <v>46000</v>
      </c>
    </row>
    <row r="8" spans="1:11" x14ac:dyDescent="0.25">
      <c r="A8" s="73">
        <v>1007</v>
      </c>
      <c r="B8" s="73" t="s">
        <v>234</v>
      </c>
      <c r="C8" s="73" t="s">
        <v>227</v>
      </c>
      <c r="D8" s="73">
        <v>39000</v>
      </c>
      <c r="F8" s="74" t="s">
        <v>279</v>
      </c>
    </row>
    <row r="9" spans="1:11" x14ac:dyDescent="0.25">
      <c r="A9" s="73">
        <v>1008</v>
      </c>
      <c r="B9" s="73" t="s">
        <v>235</v>
      </c>
      <c r="C9" s="73" t="s">
        <v>231</v>
      </c>
      <c r="D9" s="73">
        <v>44000</v>
      </c>
      <c r="F9" s="47"/>
    </row>
    <row r="10" spans="1:11" x14ac:dyDescent="0.25">
      <c r="A10" s="73">
        <v>1009</v>
      </c>
      <c r="B10" s="73" t="s">
        <v>236</v>
      </c>
      <c r="C10" s="73" t="s">
        <v>229</v>
      </c>
      <c r="D10" s="73">
        <v>48000</v>
      </c>
      <c r="F10" s="47"/>
    </row>
    <row r="11" spans="1:11" x14ac:dyDescent="0.25">
      <c r="A11" s="73">
        <v>1010</v>
      </c>
      <c r="B11" s="73" t="s">
        <v>237</v>
      </c>
      <c r="C11" s="73" t="s">
        <v>225</v>
      </c>
      <c r="D11" s="73">
        <v>37000</v>
      </c>
    </row>
    <row r="12" spans="1:11" x14ac:dyDescent="0.25">
      <c r="A12" s="73">
        <v>1011</v>
      </c>
      <c r="B12" s="73" t="s">
        <v>238</v>
      </c>
      <c r="C12" s="73" t="s">
        <v>227</v>
      </c>
      <c r="D12" s="73">
        <v>41000</v>
      </c>
      <c r="F12" s="74" t="s">
        <v>280</v>
      </c>
      <c r="H12" s="74" t="s">
        <v>282</v>
      </c>
      <c r="I12" s="74" t="s">
        <v>222</v>
      </c>
    </row>
    <row r="13" spans="1:11" x14ac:dyDescent="0.25">
      <c r="A13" s="73">
        <v>1012</v>
      </c>
      <c r="B13" s="73" t="s">
        <v>239</v>
      </c>
      <c r="C13" s="73" t="s">
        <v>231</v>
      </c>
      <c r="D13" s="73">
        <v>43000</v>
      </c>
      <c r="H13" s="47"/>
      <c r="I13" s="47"/>
    </row>
    <row r="14" spans="1:11" x14ac:dyDescent="0.25">
      <c r="A14" s="73">
        <v>1013</v>
      </c>
      <c r="B14" s="73" t="s">
        <v>240</v>
      </c>
      <c r="C14" s="73" t="s">
        <v>229</v>
      </c>
      <c r="D14" s="73">
        <v>47000</v>
      </c>
    </row>
    <row r="15" spans="1:11" x14ac:dyDescent="0.25">
      <c r="A15" s="73">
        <v>1014</v>
      </c>
      <c r="B15" s="73" t="s">
        <v>241</v>
      </c>
      <c r="C15" s="73" t="s">
        <v>225</v>
      </c>
      <c r="D15" s="73">
        <v>36000</v>
      </c>
    </row>
    <row r="16" spans="1:11" x14ac:dyDescent="0.25">
      <c r="A16" s="73">
        <v>1015</v>
      </c>
      <c r="B16" s="73" t="s">
        <v>242</v>
      </c>
      <c r="C16" s="73" t="s">
        <v>227</v>
      </c>
      <c r="D16" s="73">
        <v>40000</v>
      </c>
      <c r="F16" s="74" t="s">
        <v>281</v>
      </c>
      <c r="H16" s="74" t="s">
        <v>282</v>
      </c>
      <c r="I16" s="74" t="s">
        <v>283</v>
      </c>
      <c r="J16" s="74" t="s">
        <v>222</v>
      </c>
      <c r="K16" s="74" t="s">
        <v>284</v>
      </c>
    </row>
    <row r="17" spans="1:11" x14ac:dyDescent="0.25">
      <c r="A17" s="73">
        <v>1016</v>
      </c>
      <c r="B17" s="73" t="s">
        <v>243</v>
      </c>
      <c r="C17" s="73" t="s">
        <v>229</v>
      </c>
      <c r="D17" s="73">
        <v>49000</v>
      </c>
      <c r="H17" s="47"/>
      <c r="I17" s="47"/>
      <c r="J17" s="47"/>
      <c r="K17" s="47"/>
    </row>
    <row r="18" spans="1:11" x14ac:dyDescent="0.25">
      <c r="A18" s="73">
        <v>1017</v>
      </c>
      <c r="B18" s="73" t="s">
        <v>244</v>
      </c>
      <c r="C18" s="73" t="s">
        <v>231</v>
      </c>
      <c r="D18" s="73">
        <v>45000</v>
      </c>
    </row>
    <row r="19" spans="1:11" x14ac:dyDescent="0.25">
      <c r="A19" s="73">
        <v>1018</v>
      </c>
      <c r="B19" s="73" t="s">
        <v>245</v>
      </c>
      <c r="C19" s="73" t="s">
        <v>225</v>
      </c>
      <c r="D19" s="73">
        <v>38000</v>
      </c>
    </row>
    <row r="20" spans="1:11" x14ac:dyDescent="0.25">
      <c r="A20" s="73">
        <v>1019</v>
      </c>
      <c r="B20" s="73" t="s">
        <v>246</v>
      </c>
      <c r="C20" s="73" t="s">
        <v>227</v>
      </c>
      <c r="D20" s="73">
        <v>42000</v>
      </c>
    </row>
    <row r="21" spans="1:11" x14ac:dyDescent="0.25">
      <c r="A21" s="73">
        <v>1020</v>
      </c>
      <c r="B21" s="73" t="s">
        <v>247</v>
      </c>
      <c r="C21" s="73" t="s">
        <v>229</v>
      </c>
      <c r="D21" s="73">
        <v>50000</v>
      </c>
    </row>
    <row r="22" spans="1:11" x14ac:dyDescent="0.25">
      <c r="A22" s="73">
        <v>1021</v>
      </c>
      <c r="B22" s="73" t="s">
        <v>248</v>
      </c>
      <c r="C22" s="73" t="s">
        <v>231</v>
      </c>
      <c r="D22" s="73">
        <v>46000</v>
      </c>
    </row>
    <row r="23" spans="1:11" x14ac:dyDescent="0.25">
      <c r="A23" s="73">
        <v>1022</v>
      </c>
      <c r="B23" s="73" t="s">
        <v>249</v>
      </c>
      <c r="C23" s="73" t="s">
        <v>225</v>
      </c>
      <c r="D23" s="73">
        <v>39000</v>
      </c>
    </row>
    <row r="24" spans="1:11" x14ac:dyDescent="0.25">
      <c r="A24" s="73">
        <v>1023</v>
      </c>
      <c r="B24" s="73" t="s">
        <v>250</v>
      </c>
      <c r="C24" s="73" t="s">
        <v>227</v>
      </c>
      <c r="D24" s="73">
        <v>43000</v>
      </c>
    </row>
    <row r="25" spans="1:11" x14ac:dyDescent="0.25">
      <c r="A25" s="73">
        <v>1024</v>
      </c>
      <c r="B25" s="73" t="s">
        <v>251</v>
      </c>
      <c r="C25" s="73" t="s">
        <v>229</v>
      </c>
      <c r="D25" s="73">
        <v>51000</v>
      </c>
    </row>
    <row r="26" spans="1:11" x14ac:dyDescent="0.25">
      <c r="A26" s="73">
        <v>1025</v>
      </c>
      <c r="B26" s="73" t="s">
        <v>252</v>
      </c>
      <c r="C26" s="73" t="s">
        <v>231</v>
      </c>
      <c r="D26" s="73">
        <v>47000</v>
      </c>
    </row>
    <row r="27" spans="1:11" x14ac:dyDescent="0.25">
      <c r="A27" s="73">
        <v>1026</v>
      </c>
      <c r="B27" s="73" t="s">
        <v>253</v>
      </c>
      <c r="C27" s="73" t="s">
        <v>225</v>
      </c>
      <c r="D27" s="73">
        <v>40000</v>
      </c>
    </row>
    <row r="28" spans="1:11" x14ac:dyDescent="0.25">
      <c r="A28" s="73">
        <v>1027</v>
      </c>
      <c r="B28" s="73" t="s">
        <v>254</v>
      </c>
      <c r="C28" s="73" t="s">
        <v>227</v>
      </c>
      <c r="D28" s="73">
        <v>44000</v>
      </c>
    </row>
    <row r="29" spans="1:11" x14ac:dyDescent="0.25">
      <c r="A29" s="73">
        <v>1028</v>
      </c>
      <c r="B29" s="73" t="s">
        <v>255</v>
      </c>
      <c r="C29" s="73" t="s">
        <v>229</v>
      </c>
      <c r="D29" s="73">
        <v>52000</v>
      </c>
    </row>
    <row r="30" spans="1:11" x14ac:dyDescent="0.25">
      <c r="A30" s="73">
        <v>1029</v>
      </c>
      <c r="B30" s="73" t="s">
        <v>256</v>
      </c>
      <c r="C30" s="73" t="s">
        <v>231</v>
      </c>
      <c r="D30" s="73">
        <v>48000</v>
      </c>
    </row>
    <row r="31" spans="1:11" x14ac:dyDescent="0.25">
      <c r="A31" s="73">
        <v>1030</v>
      </c>
      <c r="B31" s="73" t="s">
        <v>257</v>
      </c>
      <c r="C31" s="73" t="s">
        <v>225</v>
      </c>
      <c r="D31" s="73">
        <v>41000</v>
      </c>
    </row>
    <row r="32" spans="1:11" x14ac:dyDescent="0.25">
      <c r="A32" s="73">
        <v>1031</v>
      </c>
      <c r="B32" s="73" t="s">
        <v>258</v>
      </c>
      <c r="C32" s="73" t="s">
        <v>227</v>
      </c>
      <c r="D32" s="73">
        <v>45000</v>
      </c>
    </row>
    <row r="33" spans="1:4" x14ac:dyDescent="0.25">
      <c r="A33" s="73">
        <v>1032</v>
      </c>
      <c r="B33" s="73" t="s">
        <v>259</v>
      </c>
      <c r="C33" s="73" t="s">
        <v>229</v>
      </c>
      <c r="D33" s="73">
        <v>53000</v>
      </c>
    </row>
    <row r="34" spans="1:4" x14ac:dyDescent="0.25">
      <c r="A34" s="73">
        <v>1033</v>
      </c>
      <c r="B34" s="73" t="s">
        <v>260</v>
      </c>
      <c r="C34" s="73" t="s">
        <v>231</v>
      </c>
      <c r="D34" s="73">
        <v>49000</v>
      </c>
    </row>
    <row r="35" spans="1:4" x14ac:dyDescent="0.25">
      <c r="A35" s="73">
        <v>1034</v>
      </c>
      <c r="B35" s="73" t="s">
        <v>261</v>
      </c>
      <c r="C35" s="73" t="s">
        <v>225</v>
      </c>
      <c r="D35" s="73">
        <v>42000</v>
      </c>
    </row>
    <row r="36" spans="1:4" x14ac:dyDescent="0.25">
      <c r="A36" s="73">
        <v>1035</v>
      </c>
      <c r="B36" s="73" t="s">
        <v>262</v>
      </c>
      <c r="C36" s="73" t="s">
        <v>227</v>
      </c>
      <c r="D36" s="73">
        <v>46000</v>
      </c>
    </row>
    <row r="37" spans="1:4" x14ac:dyDescent="0.25">
      <c r="A37" s="73">
        <v>1036</v>
      </c>
      <c r="B37" s="73" t="s">
        <v>263</v>
      </c>
      <c r="C37" s="73" t="s">
        <v>229</v>
      </c>
      <c r="D37" s="73">
        <v>54000</v>
      </c>
    </row>
    <row r="38" spans="1:4" x14ac:dyDescent="0.25">
      <c r="A38" s="73">
        <v>1037</v>
      </c>
      <c r="B38" s="73" t="s">
        <v>264</v>
      </c>
      <c r="C38" s="73" t="s">
        <v>231</v>
      </c>
      <c r="D38" s="73">
        <v>50000</v>
      </c>
    </row>
    <row r="39" spans="1:4" x14ac:dyDescent="0.25">
      <c r="A39" s="73">
        <v>1038</v>
      </c>
      <c r="B39" s="73" t="s">
        <v>265</v>
      </c>
      <c r="C39" s="73" t="s">
        <v>225</v>
      </c>
      <c r="D39" s="73">
        <v>43000</v>
      </c>
    </row>
    <row r="40" spans="1:4" x14ac:dyDescent="0.25">
      <c r="A40" s="73">
        <v>1039</v>
      </c>
      <c r="B40" s="73" t="s">
        <v>266</v>
      </c>
      <c r="C40" s="73" t="s">
        <v>227</v>
      </c>
      <c r="D40" s="73">
        <v>47000</v>
      </c>
    </row>
    <row r="41" spans="1:4" x14ac:dyDescent="0.25">
      <c r="A41" s="73">
        <v>1040</v>
      </c>
      <c r="B41" s="73" t="s">
        <v>267</v>
      </c>
      <c r="C41" s="73" t="s">
        <v>229</v>
      </c>
      <c r="D41" s="73">
        <v>55000</v>
      </c>
    </row>
    <row r="42" spans="1:4" x14ac:dyDescent="0.25">
      <c r="A42" s="73">
        <v>1041</v>
      </c>
      <c r="B42" s="73" t="s">
        <v>268</v>
      </c>
      <c r="C42" s="73" t="s">
        <v>231</v>
      </c>
      <c r="D42" s="73">
        <v>51000</v>
      </c>
    </row>
    <row r="43" spans="1:4" x14ac:dyDescent="0.25">
      <c r="A43" s="73">
        <v>1042</v>
      </c>
      <c r="B43" s="73" t="s">
        <v>269</v>
      </c>
      <c r="C43" s="73" t="s">
        <v>225</v>
      </c>
      <c r="D43" s="73">
        <v>44000</v>
      </c>
    </row>
    <row r="44" spans="1:4" x14ac:dyDescent="0.25">
      <c r="A44" s="73">
        <v>1043</v>
      </c>
      <c r="B44" s="73" t="s">
        <v>270</v>
      </c>
      <c r="C44" s="73" t="s">
        <v>227</v>
      </c>
      <c r="D44" s="73">
        <v>48000</v>
      </c>
    </row>
    <row r="45" spans="1:4" x14ac:dyDescent="0.25">
      <c r="A45" s="73">
        <v>1044</v>
      </c>
      <c r="B45" s="73" t="s">
        <v>271</v>
      </c>
      <c r="C45" s="73" t="s">
        <v>229</v>
      </c>
      <c r="D45" s="73">
        <v>56000</v>
      </c>
    </row>
    <row r="46" spans="1:4" x14ac:dyDescent="0.25">
      <c r="A46" s="73">
        <v>1045</v>
      </c>
      <c r="B46" s="73" t="s">
        <v>272</v>
      </c>
      <c r="C46" s="73" t="s">
        <v>231</v>
      </c>
      <c r="D46" s="73">
        <v>52000</v>
      </c>
    </row>
    <row r="47" spans="1:4" x14ac:dyDescent="0.25">
      <c r="A47" s="73">
        <v>1046</v>
      </c>
      <c r="B47" s="73" t="s">
        <v>273</v>
      </c>
      <c r="C47" s="73" t="s">
        <v>225</v>
      </c>
      <c r="D47" s="73">
        <v>45000</v>
      </c>
    </row>
    <row r="48" spans="1:4" x14ac:dyDescent="0.25">
      <c r="A48" s="73">
        <v>1047</v>
      </c>
      <c r="B48" s="73" t="s">
        <v>274</v>
      </c>
      <c r="C48" s="73" t="s">
        <v>227</v>
      </c>
      <c r="D48" s="73">
        <v>49000</v>
      </c>
    </row>
    <row r="49" spans="1:4" x14ac:dyDescent="0.25">
      <c r="A49" s="73">
        <v>1048</v>
      </c>
      <c r="B49" s="73" t="s">
        <v>275</v>
      </c>
      <c r="C49" s="73" t="s">
        <v>229</v>
      </c>
      <c r="D49" s="73">
        <v>57000</v>
      </c>
    </row>
    <row r="50" spans="1:4" x14ac:dyDescent="0.25">
      <c r="A50" s="73">
        <v>1049</v>
      </c>
      <c r="B50" s="73" t="s">
        <v>276</v>
      </c>
      <c r="C50" s="73" t="s">
        <v>231</v>
      </c>
      <c r="D50" s="73">
        <v>53000</v>
      </c>
    </row>
    <row r="51" spans="1:4" x14ac:dyDescent="0.25">
      <c r="A51" s="73">
        <v>1050</v>
      </c>
      <c r="B51" s="73" t="s">
        <v>277</v>
      </c>
      <c r="C51" s="73" t="s">
        <v>225</v>
      </c>
      <c r="D51" s="73">
        <v>46000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1"/>
  <sheetViews>
    <sheetView topLeftCell="B1" workbookViewId="0">
      <selection activeCell="Q6" sqref="Q6"/>
    </sheetView>
  </sheetViews>
  <sheetFormatPr defaultRowHeight="15" x14ac:dyDescent="0.25"/>
  <cols>
    <col min="1" max="5" width="10.7109375" customWidth="1"/>
    <col min="6" max="6" width="11.28515625" customWidth="1"/>
    <col min="7" max="12" width="10.7109375" customWidth="1"/>
    <col min="13" max="13" width="10.28515625" bestFit="1" customWidth="1"/>
    <col min="14" max="14" width="10.7109375" customWidth="1"/>
    <col min="15" max="15" width="14.5703125" customWidth="1"/>
    <col min="16" max="16" width="12.140625" customWidth="1"/>
    <col min="17" max="17" width="12.7109375" customWidth="1"/>
  </cols>
  <sheetData>
    <row r="2" spans="2:17" ht="18.75" x14ac:dyDescent="0.3">
      <c r="D2" s="61" t="s">
        <v>173</v>
      </c>
      <c r="F2" s="79" t="s">
        <v>174</v>
      </c>
      <c r="G2" s="79"/>
      <c r="H2" s="79"/>
      <c r="I2" s="79"/>
      <c r="K2" s="61" t="s">
        <v>175</v>
      </c>
      <c r="M2" s="79" t="s">
        <v>176</v>
      </c>
      <c r="N2" s="79"/>
      <c r="O2" s="79"/>
    </row>
    <row r="4" spans="2:17" ht="18.75" x14ac:dyDescent="0.3">
      <c r="B4" s="61" t="s">
        <v>177</v>
      </c>
      <c r="E4" s="61" t="s">
        <v>178</v>
      </c>
      <c r="F4" s="61" t="s">
        <v>179</v>
      </c>
      <c r="J4" s="61" t="s">
        <v>180</v>
      </c>
      <c r="K4" s="61" t="s">
        <v>177</v>
      </c>
      <c r="L4" s="61" t="s">
        <v>181</v>
      </c>
      <c r="M4" s="61" t="s">
        <v>182</v>
      </c>
      <c r="P4" s="61" t="s">
        <v>178</v>
      </c>
      <c r="Q4" s="61"/>
    </row>
    <row r="5" spans="2:17" x14ac:dyDescent="0.25">
      <c r="B5" s="47" t="s">
        <v>183</v>
      </c>
      <c r="E5" s="60" t="s">
        <v>184</v>
      </c>
      <c r="F5" s="60">
        <f>MATCH("Mango",B5:B11,0)</f>
        <v>3</v>
      </c>
      <c r="J5" s="47">
        <v>10124</v>
      </c>
      <c r="K5" s="47" t="s">
        <v>183</v>
      </c>
      <c r="L5" s="47">
        <v>14</v>
      </c>
      <c r="M5" s="47">
        <v>100</v>
      </c>
      <c r="P5" s="60" t="str">
        <f>INDEX(J5:M10,3,2)</f>
        <v>Mango</v>
      </c>
      <c r="Q5" s="60">
        <f>INDEX(J5:M10,5,4)</f>
        <v>170</v>
      </c>
    </row>
    <row r="6" spans="2:17" x14ac:dyDescent="0.25">
      <c r="B6" s="47" t="s">
        <v>185</v>
      </c>
      <c r="J6" s="47">
        <v>10125</v>
      </c>
      <c r="K6" s="47" t="s">
        <v>185</v>
      </c>
      <c r="L6" s="47">
        <v>16</v>
      </c>
      <c r="M6" s="47">
        <v>200</v>
      </c>
    </row>
    <row r="7" spans="2:17" x14ac:dyDescent="0.25">
      <c r="B7" s="47" t="s">
        <v>184</v>
      </c>
      <c r="J7" s="47">
        <v>10126</v>
      </c>
      <c r="K7" s="47" t="s">
        <v>184</v>
      </c>
      <c r="L7" s="47">
        <v>28</v>
      </c>
      <c r="M7" s="47">
        <v>230</v>
      </c>
    </row>
    <row r="8" spans="2:17" x14ac:dyDescent="0.25">
      <c r="B8" s="47" t="s">
        <v>186</v>
      </c>
      <c r="J8" s="47">
        <v>10127</v>
      </c>
      <c r="K8" s="47" t="s">
        <v>186</v>
      </c>
      <c r="L8" s="47">
        <v>89</v>
      </c>
      <c r="M8" s="47">
        <v>150</v>
      </c>
    </row>
    <row r="9" spans="2:17" x14ac:dyDescent="0.25">
      <c r="B9" s="47" t="s">
        <v>187</v>
      </c>
      <c r="J9" s="47">
        <v>10128</v>
      </c>
      <c r="K9" s="47" t="s">
        <v>187</v>
      </c>
      <c r="L9" s="47">
        <v>45</v>
      </c>
      <c r="M9" s="47">
        <v>170</v>
      </c>
    </row>
    <row r="10" spans="2:17" x14ac:dyDescent="0.25">
      <c r="B10" s="47" t="s">
        <v>188</v>
      </c>
      <c r="E10" s="48"/>
      <c r="J10" s="47">
        <v>10129</v>
      </c>
      <c r="K10" s="47" t="s">
        <v>189</v>
      </c>
      <c r="L10" s="47">
        <v>55</v>
      </c>
      <c r="M10" s="47">
        <v>180</v>
      </c>
    </row>
    <row r="11" spans="2:17" x14ac:dyDescent="0.25">
      <c r="B11" s="47" t="s">
        <v>190</v>
      </c>
    </row>
  </sheetData>
  <mergeCells count="2">
    <mergeCell ref="F2:I2"/>
    <mergeCell ref="M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Q25"/>
  <sheetViews>
    <sheetView tabSelected="1" topLeftCell="F4" workbookViewId="0">
      <selection activeCell="O25" sqref="O25"/>
    </sheetView>
  </sheetViews>
  <sheetFormatPr defaultRowHeight="15" x14ac:dyDescent="0.25"/>
  <cols>
    <col min="5" max="5" width="56.42578125" bestFit="1" customWidth="1"/>
    <col min="14" max="14" width="22.85546875" customWidth="1"/>
    <col min="15" max="15" width="18.28515625" customWidth="1"/>
  </cols>
  <sheetData>
    <row r="6" spans="5:17" ht="18.75" x14ac:dyDescent="0.3">
      <c r="E6" s="62" t="s">
        <v>191</v>
      </c>
      <c r="F6" s="48"/>
      <c r="G6" s="48"/>
      <c r="H6" s="48"/>
      <c r="I6" s="48"/>
      <c r="J6" s="48"/>
      <c r="K6" s="48"/>
      <c r="L6" s="48"/>
    </row>
    <row r="7" spans="5:17" x14ac:dyDescent="0.25">
      <c r="F7" s="48"/>
      <c r="G7" s="48"/>
      <c r="H7" s="48"/>
      <c r="I7" s="48"/>
      <c r="J7" s="48"/>
      <c r="K7" s="48"/>
      <c r="L7" s="48"/>
    </row>
    <row r="8" spans="5:17" x14ac:dyDescent="0.25">
      <c r="E8" s="63" t="s">
        <v>192</v>
      </c>
      <c r="F8" s="64" t="s">
        <v>193</v>
      </c>
      <c r="G8" s="64" t="s">
        <v>194</v>
      </c>
      <c r="H8" s="64" t="s">
        <v>195</v>
      </c>
      <c r="I8" s="64" t="s">
        <v>196</v>
      </c>
      <c r="J8" s="64" t="s">
        <v>197</v>
      </c>
      <c r="K8" s="64" t="s">
        <v>198</v>
      </c>
      <c r="L8" s="64" t="s">
        <v>199</v>
      </c>
      <c r="N8" s="65" t="s">
        <v>200</v>
      </c>
      <c r="O8" s="66" t="str">
        <f>INDEX(E9:E24,13,1)</f>
        <v>Manchester</v>
      </c>
    </row>
    <row r="9" spans="5:17" x14ac:dyDescent="0.25">
      <c r="E9" s="67" t="s">
        <v>203</v>
      </c>
      <c r="F9" s="68">
        <v>0.22916666666666666</v>
      </c>
      <c r="G9" s="68">
        <v>0.22916666666666666</v>
      </c>
      <c r="H9" s="68"/>
      <c r="I9" s="60"/>
      <c r="J9" s="68">
        <v>0.21875</v>
      </c>
      <c r="K9" s="60"/>
      <c r="L9" s="60"/>
      <c r="N9" t="s">
        <v>204</v>
      </c>
      <c r="O9" s="66" t="str">
        <f>INDEX(F8:L8,1,3)</f>
        <v>Wed</v>
      </c>
    </row>
    <row r="10" spans="5:17" x14ac:dyDescent="0.25">
      <c r="E10" s="67" t="s">
        <v>205</v>
      </c>
      <c r="F10" s="68">
        <v>0.28125</v>
      </c>
      <c r="G10" s="68">
        <v>0.28125</v>
      </c>
      <c r="H10" s="68">
        <v>0.28125</v>
      </c>
      <c r="I10" s="60"/>
      <c r="J10" s="68">
        <v>0.28125</v>
      </c>
      <c r="K10" s="68">
        <v>0.3125</v>
      </c>
      <c r="L10" s="68">
        <v>0.30902777777777779</v>
      </c>
    </row>
    <row r="11" spans="5:17" x14ac:dyDescent="0.25">
      <c r="E11" s="67" t="s">
        <v>206</v>
      </c>
      <c r="F11" s="68">
        <v>0.25694444444444448</v>
      </c>
      <c r="G11" s="68"/>
      <c r="H11" s="68">
        <v>0.25694444444444448</v>
      </c>
      <c r="I11" s="60"/>
      <c r="J11" s="68">
        <v>0.25694444444444448</v>
      </c>
      <c r="K11" s="60"/>
      <c r="L11" s="60"/>
      <c r="N11" t="s">
        <v>207</v>
      </c>
      <c r="O11" s="69">
        <f>MATCH(O8,E9:E24,0)</f>
        <v>13</v>
      </c>
    </row>
    <row r="12" spans="5:17" x14ac:dyDescent="0.25">
      <c r="E12" s="67" t="s">
        <v>140</v>
      </c>
      <c r="F12" s="68">
        <v>0.28472222222222221</v>
      </c>
      <c r="G12" s="68">
        <v>0.28472222222222221</v>
      </c>
      <c r="H12" s="68">
        <v>0.28472222222222221</v>
      </c>
      <c r="I12" s="60"/>
      <c r="J12" s="68">
        <v>0.27430555555555552</v>
      </c>
      <c r="K12" s="68">
        <v>0.30208333333333331</v>
      </c>
      <c r="L12" s="68">
        <v>0.30902777777777779</v>
      </c>
      <c r="N12" t="s">
        <v>208</v>
      </c>
      <c r="O12" s="69">
        <f>MATCH(O9,F8:L8,0)</f>
        <v>3</v>
      </c>
    </row>
    <row r="13" spans="5:17" x14ac:dyDescent="0.25">
      <c r="E13" s="67" t="s">
        <v>209</v>
      </c>
      <c r="F13" s="68">
        <v>0.24305555555555555</v>
      </c>
      <c r="G13" s="68"/>
      <c r="H13" s="68"/>
      <c r="I13" s="68">
        <v>0.24305555555555555</v>
      </c>
      <c r="J13" s="70">
        <v>0.23263888888888887</v>
      </c>
      <c r="K13" s="60"/>
      <c r="L13" s="60"/>
    </row>
    <row r="14" spans="5:17" x14ac:dyDescent="0.25">
      <c r="E14" s="67" t="s">
        <v>210</v>
      </c>
      <c r="F14" s="68">
        <v>0.26041666666666669</v>
      </c>
      <c r="G14" s="68">
        <v>0.26041666666666669</v>
      </c>
      <c r="H14" s="68">
        <v>0.26041666666666669</v>
      </c>
      <c r="I14" s="60"/>
      <c r="J14" s="68">
        <v>0.26041666666666669</v>
      </c>
      <c r="K14" s="68">
        <v>0.29166666666666669</v>
      </c>
      <c r="L14" s="60"/>
      <c r="N14" t="s">
        <v>211</v>
      </c>
      <c r="O14" s="68">
        <f>INDEX(F9:L24,O11,O12)</f>
        <v>0.26041666666666669</v>
      </c>
      <c r="Q14" s="71"/>
    </row>
    <row r="15" spans="5:17" x14ac:dyDescent="0.25">
      <c r="E15" s="67" t="s">
        <v>212</v>
      </c>
      <c r="F15" s="68">
        <v>0.23263888888888887</v>
      </c>
      <c r="G15" s="68"/>
      <c r="H15" s="68">
        <v>0.23263888888888887</v>
      </c>
      <c r="I15" s="60"/>
      <c r="J15" s="68">
        <v>0.23263888888888887</v>
      </c>
      <c r="K15" s="60"/>
      <c r="L15" s="60"/>
    </row>
    <row r="16" spans="5:17" x14ac:dyDescent="0.25">
      <c r="E16" s="67" t="s">
        <v>202</v>
      </c>
      <c r="F16" s="68">
        <v>0.27430555555555552</v>
      </c>
      <c r="G16" s="68">
        <v>0.27430555555555552</v>
      </c>
      <c r="H16" s="68">
        <v>0.25</v>
      </c>
      <c r="I16" s="60"/>
      <c r="J16" s="68">
        <v>0.2638888888888889</v>
      </c>
      <c r="K16" s="60"/>
      <c r="L16" s="60"/>
      <c r="N16" t="s">
        <v>213</v>
      </c>
      <c r="O16" s="68">
        <f>INDEX(F9:L24,MATCH(O8,E9:E24,0),MATCH(O9,F8:L8,0))</f>
        <v>0.26041666666666669</v>
      </c>
      <c r="Q16" s="71"/>
    </row>
    <row r="17" spans="5:15" x14ac:dyDescent="0.25">
      <c r="E17" s="67" t="s">
        <v>141</v>
      </c>
      <c r="F17" s="68">
        <v>0.22569444444444445</v>
      </c>
      <c r="G17" s="68">
        <v>0.22569444444444445</v>
      </c>
      <c r="H17" s="68">
        <v>0.22569444444444445</v>
      </c>
      <c r="I17" s="60"/>
      <c r="J17" s="68">
        <v>0.20833333333333334</v>
      </c>
      <c r="K17" s="68">
        <v>0.2986111111111111</v>
      </c>
      <c r="L17" s="68">
        <v>0.3125</v>
      </c>
      <c r="N17" t="s">
        <v>214</v>
      </c>
      <c r="O17" s="68"/>
    </row>
    <row r="18" spans="5:15" x14ac:dyDescent="0.25">
      <c r="E18" s="67" t="s">
        <v>215</v>
      </c>
      <c r="F18" s="68">
        <v>0.2673611111111111</v>
      </c>
      <c r="G18" s="68">
        <v>0.2673611111111111</v>
      </c>
      <c r="H18" s="68">
        <v>0.2673611111111111</v>
      </c>
      <c r="I18" s="60"/>
      <c r="J18" s="68">
        <v>0.23611111111111113</v>
      </c>
      <c r="K18" s="60"/>
      <c r="L18" s="60"/>
    </row>
    <row r="19" spans="5:15" x14ac:dyDescent="0.25">
      <c r="E19" s="67" t="s">
        <v>201</v>
      </c>
      <c r="F19" s="68">
        <v>0.24652777777777779</v>
      </c>
      <c r="G19" s="68"/>
      <c r="H19" s="68">
        <v>0.24652777777777779</v>
      </c>
      <c r="I19" s="60"/>
      <c r="J19" s="68">
        <v>0.24652777777777779</v>
      </c>
      <c r="K19" s="60"/>
      <c r="L19" s="60"/>
    </row>
    <row r="20" spans="5:15" x14ac:dyDescent="0.25">
      <c r="E20" s="67" t="s">
        <v>216</v>
      </c>
      <c r="F20" s="68">
        <v>0.25347222222222221</v>
      </c>
      <c r="G20" s="68">
        <v>0.25347222222222221</v>
      </c>
      <c r="H20" s="68">
        <v>0.25347222222222221</v>
      </c>
      <c r="I20" s="60"/>
      <c r="J20" s="68">
        <v>0.25347222222222221</v>
      </c>
      <c r="K20" s="68">
        <v>0.28125</v>
      </c>
      <c r="L20" s="60"/>
      <c r="N20" t="s">
        <v>289</v>
      </c>
      <c r="O20" t="s">
        <v>219</v>
      </c>
    </row>
    <row r="21" spans="5:15" x14ac:dyDescent="0.25">
      <c r="E21" s="67" t="s">
        <v>142</v>
      </c>
      <c r="F21" s="68">
        <v>0.26041666666666669</v>
      </c>
      <c r="G21" s="68">
        <v>0.26041666666666669</v>
      </c>
      <c r="H21" s="68">
        <v>0.26041666666666669</v>
      </c>
      <c r="I21" s="60"/>
      <c r="J21" s="68">
        <v>0.25347222222222221</v>
      </c>
      <c r="K21" s="68">
        <v>0.2638888888888889</v>
      </c>
      <c r="L21" s="68">
        <v>0.2986111111111111</v>
      </c>
      <c r="N21" t="s">
        <v>290</v>
      </c>
      <c r="O21" t="s">
        <v>195</v>
      </c>
    </row>
    <row r="22" spans="5:15" x14ac:dyDescent="0.25">
      <c r="E22" s="67" t="s">
        <v>217</v>
      </c>
      <c r="F22" s="68">
        <v>0.24305555555555555</v>
      </c>
      <c r="G22" s="68">
        <v>0.24305555555555555</v>
      </c>
      <c r="H22" s="68"/>
      <c r="I22" s="60"/>
      <c r="J22" s="68">
        <v>0.21527777777777779</v>
      </c>
      <c r="K22" s="60"/>
      <c r="L22" s="60"/>
    </row>
    <row r="23" spans="5:15" x14ac:dyDescent="0.25">
      <c r="E23" s="67" t="s">
        <v>218</v>
      </c>
      <c r="F23" s="68">
        <v>0.26041666666666669</v>
      </c>
      <c r="G23" s="68">
        <v>0.26041666666666669</v>
      </c>
      <c r="H23" s="68">
        <v>0.26041666666666669</v>
      </c>
      <c r="I23" s="60"/>
      <c r="J23" s="68">
        <v>0.25</v>
      </c>
      <c r="K23" s="60"/>
      <c r="L23" s="60"/>
      <c r="N23" t="s">
        <v>290</v>
      </c>
      <c r="O23" s="84">
        <f>INDEX(F9:L24,MATCH(O20,E9:E24,0),MATCH(O21,F8:L8,0))</f>
        <v>0.2673611111111111</v>
      </c>
    </row>
    <row r="24" spans="5:15" x14ac:dyDescent="0.25">
      <c r="E24" s="67" t="s">
        <v>219</v>
      </c>
      <c r="F24" s="68">
        <v>0.2673611111111111</v>
      </c>
      <c r="G24" s="68"/>
      <c r="H24" s="68">
        <v>0.2673611111111111</v>
      </c>
      <c r="I24" s="60"/>
      <c r="J24" s="68">
        <v>0.26041666666666669</v>
      </c>
      <c r="K24" s="60"/>
      <c r="L24" s="60"/>
    </row>
    <row r="25" spans="5:15" x14ac:dyDescent="0.25">
      <c r="F25" s="48"/>
      <c r="G25" s="48"/>
      <c r="H25" s="48"/>
      <c r="I25" s="48"/>
      <c r="J25" s="48"/>
      <c r="K25" s="48"/>
      <c r="L25" s="48"/>
    </row>
  </sheetData>
  <conditionalFormatting sqref="F9:L24">
    <cfRule type="cellIs" dxfId="2" priority="3" operator="equal">
      <formula>0</formula>
    </cfRule>
  </conditionalFormatting>
  <conditionalFormatting sqref="O14">
    <cfRule type="cellIs" dxfId="1" priority="2" operator="equal">
      <formula>0</formula>
    </cfRule>
  </conditionalFormatting>
  <conditionalFormatting sqref="O16:O17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Vlookup</vt:lpstr>
      <vt:lpstr>Vlookup-1</vt:lpstr>
      <vt:lpstr>Hlookup</vt:lpstr>
      <vt:lpstr>XLookup </vt:lpstr>
      <vt:lpstr>Match &amp; Index</vt:lpstr>
      <vt:lpstr>Match &amp; Index -1</vt:lpstr>
      <vt:lpstr>BasePrices</vt:lpstr>
      <vt:lpstr>Data</vt:lpstr>
      <vt:lpstr>Destination</vt:lpstr>
      <vt:lpstr>Multipliers</vt:lpstr>
      <vt:lpstr>Type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Prachiti sonawane</dc:creator>
  <cp:lastModifiedBy>HP</cp:lastModifiedBy>
  <dcterms:created xsi:type="dcterms:W3CDTF">2025-06-30T10:57:19Z</dcterms:created>
  <dcterms:modified xsi:type="dcterms:W3CDTF">2026-06-08T07:29:02Z</dcterms:modified>
</cp:coreProperties>
</file>